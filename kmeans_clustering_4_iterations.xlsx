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 activeTab="1"/>
  </bookViews>
  <sheets>
    <sheet name="Summary" sheetId="1" r:id="rId1"/>
    <sheet name="Iteration_1" sheetId="2" r:id="rId2"/>
    <sheet name="Iteration_2" sheetId="3" r:id="rId3"/>
    <sheet name="Iteration_3" sheetId="4" r:id="rId4"/>
    <sheet name="Iteration_4" sheetId="5" r:id="rId5"/>
  </sheets>
  <calcPr calcId="12451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" i="2"/>
  <c r="L4" i="5"/>
  <c r="F4" i="4"/>
  <c r="P6" i="3"/>
  <c r="O6"/>
  <c r="P5"/>
  <c r="O5"/>
  <c r="P4"/>
  <c r="O4"/>
  <c r="P6" i="2"/>
  <c r="P5"/>
  <c r="P4"/>
  <c r="O6"/>
  <c r="O5"/>
  <c r="O4"/>
  <c r="L5"/>
  <c r="L6"/>
  <c r="L7"/>
  <c r="B7" i="1" s="1"/>
  <c r="L8" i="2"/>
  <c r="B8" i="1" s="1"/>
  <c r="L9" i="2"/>
  <c r="L10"/>
  <c r="L11"/>
  <c r="B11" i="1" s="1"/>
  <c r="I4" i="2"/>
  <c r="K11"/>
  <c r="J11"/>
  <c r="I11"/>
  <c r="K10"/>
  <c r="J10"/>
  <c r="I10"/>
  <c r="K9"/>
  <c r="J9"/>
  <c r="I9"/>
  <c r="K8"/>
  <c r="J8"/>
  <c r="I8"/>
  <c r="K7"/>
  <c r="J7"/>
  <c r="I7"/>
  <c r="K6"/>
  <c r="J6"/>
  <c r="I6"/>
  <c r="B6" i="1" s="1"/>
  <c r="K5" i="2"/>
  <c r="J5"/>
  <c r="I5"/>
  <c r="K4"/>
  <c r="J4"/>
  <c r="B10" i="1"/>
  <c r="B9"/>
  <c r="B5"/>
  <c r="G4" i="3" l="1"/>
  <c r="F5"/>
  <c r="F4"/>
  <c r="G5"/>
  <c r="F6"/>
  <c r="G6"/>
  <c r="B4" i="1"/>
  <c r="I11" i="3" l="1"/>
  <c r="I10"/>
  <c r="I9"/>
  <c r="I8"/>
  <c r="I7"/>
  <c r="I6"/>
  <c r="I5"/>
  <c r="I4"/>
  <c r="J11"/>
  <c r="J10"/>
  <c r="J9"/>
  <c r="J8"/>
  <c r="J7"/>
  <c r="J6"/>
  <c r="J5"/>
  <c r="J4"/>
  <c r="K6"/>
  <c r="K5"/>
  <c r="K4"/>
  <c r="K11"/>
  <c r="K10"/>
  <c r="K9"/>
  <c r="K8"/>
  <c r="K7"/>
  <c r="L6" l="1"/>
  <c r="C6" i="1" s="1"/>
  <c r="L10" i="3"/>
  <c r="C10" i="1" s="1"/>
  <c r="L11" i="3"/>
  <c r="C11" i="1" s="1"/>
  <c r="L5" i="3"/>
  <c r="C5" i="1" s="1"/>
  <c r="L9" i="3"/>
  <c r="C9" i="1" s="1"/>
  <c r="L7" i="3"/>
  <c r="C7" i="1" s="1"/>
  <c r="L4" i="3"/>
  <c r="L8"/>
  <c r="C8" i="1" s="1"/>
  <c r="C4" l="1"/>
  <c r="F6" i="4"/>
  <c r="F5"/>
  <c r="G6"/>
  <c r="G5"/>
  <c r="G4"/>
  <c r="K6" l="1"/>
  <c r="K5"/>
  <c r="K4"/>
  <c r="K11"/>
  <c r="K10"/>
  <c r="K9"/>
  <c r="K8"/>
  <c r="K7"/>
  <c r="J11"/>
  <c r="J10"/>
  <c r="J9"/>
  <c r="J8"/>
  <c r="J7"/>
  <c r="J6"/>
  <c r="J5"/>
  <c r="J4"/>
  <c r="I11"/>
  <c r="I10"/>
  <c r="I9"/>
  <c r="I8"/>
  <c r="I7"/>
  <c r="I6"/>
  <c r="I5"/>
  <c r="I4"/>
  <c r="L4" l="1"/>
  <c r="L7"/>
  <c r="D7" i="1" s="1"/>
  <c r="L11" i="4"/>
  <c r="D11" i="1" s="1"/>
  <c r="L9" i="4"/>
  <c r="D9" i="1" s="1"/>
  <c r="L5" i="4"/>
  <c r="D5" i="1" s="1"/>
  <c r="L8" i="4"/>
  <c r="D8" i="1" s="1"/>
  <c r="L6" i="4"/>
  <c r="D6" i="1" s="1"/>
  <c r="L10" i="4"/>
  <c r="D10" i="1" s="1"/>
  <c r="D4"/>
  <c r="P6" i="4" l="1"/>
  <c r="G6" i="5" s="1"/>
  <c r="P4" i="4"/>
  <c r="G4" i="5" s="1"/>
  <c r="O5" i="4"/>
  <c r="P5"/>
  <c r="O6"/>
  <c r="F6" i="5" s="1"/>
  <c r="O4" i="4"/>
  <c r="F4" i="5" s="1"/>
  <c r="F5"/>
  <c r="G5"/>
  <c r="I4" l="1"/>
  <c r="J8"/>
  <c r="I8"/>
  <c r="I10"/>
  <c r="I5"/>
  <c r="J7"/>
  <c r="I9"/>
  <c r="J4"/>
  <c r="J11"/>
  <c r="I7"/>
  <c r="I11"/>
  <c r="J9"/>
  <c r="I6"/>
  <c r="J6"/>
  <c r="J10"/>
  <c r="K6"/>
  <c r="K5"/>
  <c r="K4"/>
  <c r="K11"/>
  <c r="L11" s="1"/>
  <c r="E11" i="1" s="1"/>
  <c r="K10" i="5"/>
  <c r="K9"/>
  <c r="K8"/>
  <c r="L8" s="1"/>
  <c r="E8" i="1" s="1"/>
  <c r="K7" i="5"/>
  <c r="J5"/>
  <c r="L7" l="1"/>
  <c r="E7" i="1" s="1"/>
  <c r="L5" i="5"/>
  <c r="E5" i="1" s="1"/>
  <c r="L6" i="5"/>
  <c r="E6" i="1" s="1"/>
  <c r="L10" i="5"/>
  <c r="E10" i="1" s="1"/>
  <c r="L9" i="5"/>
  <c r="E9" i="1" s="1"/>
  <c r="E4"/>
  <c r="B13" s="1"/>
  <c r="P4" i="5" l="1"/>
  <c r="C17" i="1" s="1"/>
  <c r="P5" i="5"/>
  <c r="C18" i="1" s="1"/>
  <c r="O5" i="5"/>
  <c r="O6"/>
  <c r="O4"/>
  <c r="B17" i="1" s="1"/>
  <c r="P6" i="5"/>
  <c r="C19" i="1" s="1"/>
  <c r="B18"/>
  <c r="B19"/>
</calcChain>
</file>

<file path=xl/sharedStrings.xml><?xml version="1.0" encoding="utf-8"?>
<sst xmlns="http://schemas.openxmlformats.org/spreadsheetml/2006/main" count="139" uniqueCount="40">
  <si>
    <t>K-Means Clustering — Convergence Summary</t>
  </si>
  <si>
    <t>Data point</t>
  </si>
  <si>
    <t>Iter 1 Cluster</t>
  </si>
  <si>
    <t>Iter 2 Cluster</t>
  </si>
  <si>
    <t>Iter 3 Cluster</t>
  </si>
  <si>
    <t>Iter 4 Cluster</t>
  </si>
  <si>
    <t>A1</t>
  </si>
  <si>
    <t>A2</t>
  </si>
  <si>
    <t>A3</t>
  </si>
  <si>
    <t>B1</t>
  </si>
  <si>
    <t>B2</t>
  </si>
  <si>
    <t>B3</t>
  </si>
  <si>
    <t>C1</t>
  </si>
  <si>
    <t>C2</t>
  </si>
  <si>
    <t>Converged? (Iter3 = Iter4)</t>
  </si>
  <si>
    <t>Final Centroids (from Iteration 4)</t>
  </si>
  <si>
    <t>Cluster</t>
  </si>
  <si>
    <t>x</t>
  </si>
  <si>
    <t>y</t>
  </si>
  <si>
    <t>Cluster 1</t>
  </si>
  <si>
    <t>Cluster 2</t>
  </si>
  <si>
    <t>Cluster 3</t>
  </si>
  <si>
    <t>Note: Each iteration sheet shows the distance calc, cluster assignment (MATCH/MIN), and new centroid calc (AVERAGEIF) for that step. Iterations 2-4 pull their centroids live from the previous sheet's 'New Centroid' table, so the whole model recalculates if the raw data changes.</t>
  </si>
  <si>
    <t>Iteration 1</t>
  </si>
  <si>
    <t>Data points</t>
  </si>
  <si>
    <t>Centroid used</t>
  </si>
  <si>
    <t>Dist -&gt; C1</t>
  </si>
  <si>
    <t>Dist -&gt; C2</t>
  </si>
  <si>
    <t>Dist -&gt; C3</t>
  </si>
  <si>
    <t>New Centroid</t>
  </si>
  <si>
    <t>Centroid 1</t>
  </si>
  <si>
    <t>New Centroid 1</t>
  </si>
  <si>
    <t>Centroid 2</t>
  </si>
  <si>
    <t>New Centroid 2</t>
  </si>
  <si>
    <t>Centroid 3</t>
  </si>
  <si>
    <t>New Centroid 3</t>
  </si>
  <si>
    <t>Blue = hardcoded input | Green = linked from previous iteration | Black = formula</t>
  </si>
  <si>
    <t>Iteration 2</t>
  </si>
  <si>
    <t>Iteration 3</t>
  </si>
  <si>
    <t>Iteration 4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</si>
</sst>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008000"/>
      <name val="Arial"/>
      <family val="2"/>
    </font>
    <font>
      <b/>
      <sz val="11"/>
      <color rgb="FF008000"/>
      <name val="Arial"/>
      <family val="2"/>
    </font>
    <font>
      <i/>
      <sz val="9"/>
      <color rgb="FF666666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b/>
      <sz val="14"/>
      <color rgb="FFFF0000"/>
      <name val="Arial"/>
      <family val="2"/>
    </font>
    <font>
      <b/>
      <sz val="16"/>
      <color rgb="FF0070C0"/>
      <name val="Arial"/>
      <family val="2"/>
    </font>
    <font>
      <sz val="18"/>
      <color rgb="FF0070C0"/>
      <name val="Arial"/>
      <family val="2"/>
    </font>
    <font>
      <b/>
      <sz val="14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FCE4EC"/>
      </patternFill>
    </fill>
    <fill>
      <patternFill patternType="solid">
        <fgColor rgb="FFFCE4EC"/>
        <bgColor rgb="FFD9E1F2"/>
      </patternFill>
    </fill>
    <fill>
      <patternFill patternType="solid">
        <fgColor theme="5" tint="0.59999389629810485"/>
        <bgColor rgb="FF666666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0" borderId="0" xfId="0" applyFont="1"/>
    <xf numFmtId="0" fontId="4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" fillId="0" borderId="0" xfId="0" applyFont="1" applyBorder="1"/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4</xdr:row>
      <xdr:rowOff>190500</xdr:rowOff>
    </xdr:from>
    <xdr:to>
      <xdr:col>11</xdr:col>
      <xdr:colOff>167640</xdr:colOff>
      <xdr:row>4</xdr:row>
      <xdr:rowOff>205740</xdr:rowOff>
    </xdr:to>
    <xdr:cxnSp macro="">
      <xdr:nvCxnSpPr>
        <xdr:cNvPr id="3" name="Straight Arrow Connector 2"/>
        <xdr:cNvCxnSpPr/>
      </xdr:nvCxnSpPr>
      <xdr:spPr>
        <a:xfrm rot="10800000" flipV="1">
          <a:off x="1112520" y="998220"/>
          <a:ext cx="5501640" cy="1524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297180</xdr:colOff>
      <xdr:row>9</xdr:row>
      <xdr:rowOff>114300</xdr:rowOff>
    </xdr:from>
    <xdr:to>
      <xdr:col>11</xdr:col>
      <xdr:colOff>175260</xdr:colOff>
      <xdr:row>9</xdr:row>
      <xdr:rowOff>160020</xdr:rowOff>
    </xdr:to>
    <xdr:cxnSp macro="">
      <xdr:nvCxnSpPr>
        <xdr:cNvPr id="4" name="Straight Arrow Connector 3"/>
        <xdr:cNvCxnSpPr/>
      </xdr:nvCxnSpPr>
      <xdr:spPr>
        <a:xfrm rot="10800000">
          <a:off x="1120140" y="1943100"/>
          <a:ext cx="5501640" cy="4572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342900</xdr:colOff>
      <xdr:row>4</xdr:row>
      <xdr:rowOff>243840</xdr:rowOff>
    </xdr:from>
    <xdr:to>
      <xdr:col>14</xdr:col>
      <xdr:colOff>121920</xdr:colOff>
      <xdr:row>5</xdr:row>
      <xdr:rowOff>68580</xdr:rowOff>
    </xdr:to>
    <xdr:cxnSp macro="">
      <xdr:nvCxnSpPr>
        <xdr:cNvPr id="12" name="Straight Arrow Connector 11"/>
        <xdr:cNvCxnSpPr/>
      </xdr:nvCxnSpPr>
      <xdr:spPr>
        <a:xfrm>
          <a:off x="1165860" y="1051560"/>
          <a:ext cx="7368540" cy="11430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320040</xdr:colOff>
      <xdr:row>5</xdr:row>
      <xdr:rowOff>121920</xdr:rowOff>
    </xdr:from>
    <xdr:to>
      <xdr:col>14</xdr:col>
      <xdr:colOff>205740</xdr:colOff>
      <xdr:row>9</xdr:row>
      <xdr:rowOff>106680</xdr:rowOff>
    </xdr:to>
    <xdr:cxnSp macro="">
      <xdr:nvCxnSpPr>
        <xdr:cNvPr id="15" name="Straight Arrow Connector 14"/>
        <xdr:cNvCxnSpPr/>
      </xdr:nvCxnSpPr>
      <xdr:spPr>
        <a:xfrm flipV="1">
          <a:off x="1143000" y="1219200"/>
          <a:ext cx="7475220" cy="7162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E4" sqref="E4"/>
    </sheetView>
  </sheetViews>
  <sheetFormatPr defaultColWidth="8.6640625" defaultRowHeight="14.4"/>
  <cols>
    <col min="1" max="1" width="12" customWidth="1"/>
    <col min="2" max="2" width="10" customWidth="1"/>
    <col min="3" max="3" width="14.33203125" customWidth="1"/>
    <col min="4" max="4" width="12.88671875" customWidth="1"/>
    <col min="5" max="5" width="15.5546875" customWidth="1"/>
    <col min="6" max="6" width="3" customWidth="1"/>
    <col min="7" max="7" width="14" customWidth="1"/>
    <col min="8" max="9" width="10" customWidth="1"/>
  </cols>
  <sheetData>
    <row r="1" spans="1:5" ht="17.399999999999999">
      <c r="A1" s="22" t="s">
        <v>0</v>
      </c>
      <c r="B1" s="22"/>
      <c r="C1" s="22"/>
      <c r="D1" s="22"/>
      <c r="E1" s="22"/>
    </row>
    <row r="3" spans="1: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>
      <c r="A4" s="2" t="s">
        <v>6</v>
      </c>
      <c r="B4" s="3">
        <f>Iteration_1!L4</f>
        <v>1</v>
      </c>
      <c r="C4" s="3">
        <f>Iteration_2!L4</f>
        <v>1</v>
      </c>
      <c r="D4" s="3">
        <f>Iteration_3!L4</f>
        <v>1</v>
      </c>
      <c r="E4" s="3">
        <f>Iteration_4!L4</f>
        <v>1</v>
      </c>
    </row>
    <row r="5" spans="1:5">
      <c r="A5" s="2" t="s">
        <v>7</v>
      </c>
      <c r="B5" s="3">
        <f>Iteration_1!L5</f>
        <v>3</v>
      </c>
      <c r="C5" s="3">
        <f>Iteration_2!L5</f>
        <v>3</v>
      </c>
      <c r="D5" s="3">
        <f>Iteration_3!L5</f>
        <v>3</v>
      </c>
      <c r="E5" s="3">
        <f>Iteration_4!L5</f>
        <v>3</v>
      </c>
    </row>
    <row r="6" spans="1:5">
      <c r="A6" s="2" t="s">
        <v>8</v>
      </c>
      <c r="B6" s="3">
        <f>Iteration_1!L6</f>
        <v>2</v>
      </c>
      <c r="C6" s="3">
        <f>Iteration_2!L6</f>
        <v>2</v>
      </c>
      <c r="D6" s="3">
        <f>Iteration_3!L6</f>
        <v>2</v>
      </c>
      <c r="E6" s="3">
        <f>Iteration_4!L6</f>
        <v>2</v>
      </c>
    </row>
    <row r="7" spans="1:5">
      <c r="A7" s="4" t="s">
        <v>9</v>
      </c>
      <c r="B7" s="3">
        <f>Iteration_1!L7</f>
        <v>2</v>
      </c>
      <c r="C7" s="3">
        <f>Iteration_2!L7</f>
        <v>2</v>
      </c>
      <c r="D7" s="3">
        <f>Iteration_3!L7</f>
        <v>1</v>
      </c>
      <c r="E7" s="3">
        <f>Iteration_4!L7</f>
        <v>1</v>
      </c>
    </row>
    <row r="8" spans="1:5">
      <c r="A8" s="4" t="s">
        <v>10</v>
      </c>
      <c r="B8" s="3">
        <f>Iteration_1!L8</f>
        <v>2</v>
      </c>
      <c r="C8" s="3">
        <f>Iteration_2!L8</f>
        <v>2</v>
      </c>
      <c r="D8" s="3">
        <f>Iteration_3!L8</f>
        <v>2</v>
      </c>
      <c r="E8" s="3">
        <f>Iteration_4!L8</f>
        <v>2</v>
      </c>
    </row>
    <row r="9" spans="1:5">
      <c r="A9" s="4" t="s">
        <v>11</v>
      </c>
      <c r="B9" s="3">
        <f>Iteration_1!L9</f>
        <v>2</v>
      </c>
      <c r="C9" s="3">
        <f>Iteration_2!L9</f>
        <v>2</v>
      </c>
      <c r="D9" s="3">
        <f>Iteration_3!L9</f>
        <v>2</v>
      </c>
      <c r="E9" s="3">
        <f>Iteration_4!L9</f>
        <v>2</v>
      </c>
    </row>
    <row r="10" spans="1:5">
      <c r="A10" s="5" t="s">
        <v>12</v>
      </c>
      <c r="B10" s="3">
        <f>Iteration_1!L10</f>
        <v>3</v>
      </c>
      <c r="C10" s="3">
        <f>Iteration_2!L10</f>
        <v>3</v>
      </c>
      <c r="D10" s="3">
        <f>Iteration_3!L10</f>
        <v>3</v>
      </c>
      <c r="E10" s="3">
        <f>Iteration_4!L10</f>
        <v>3</v>
      </c>
    </row>
    <row r="11" spans="1:5">
      <c r="A11" s="5" t="s">
        <v>13</v>
      </c>
      <c r="B11" s="3">
        <f>Iteration_1!L11</f>
        <v>2</v>
      </c>
      <c r="C11" s="3">
        <f>Iteration_2!L11</f>
        <v>1</v>
      </c>
      <c r="D11" s="3">
        <f>Iteration_3!L11</f>
        <v>1</v>
      </c>
      <c r="E11" s="3">
        <f>Iteration_4!L11</f>
        <v>1</v>
      </c>
    </row>
    <row r="13" spans="1:5">
      <c r="A13" s="6" t="s">
        <v>14</v>
      </c>
      <c r="B13" s="7" t="str">
        <f>IF(SUMPRODUCT(--(D4:D11&lt;&gt;E4:E11))=0,"YES - Converged","NO - keep iterating")</f>
        <v>YES - Converged</v>
      </c>
    </row>
    <row r="15" spans="1:5">
      <c r="A15" s="6" t="s">
        <v>15</v>
      </c>
    </row>
    <row r="16" spans="1:5">
      <c r="A16" s="1" t="s">
        <v>16</v>
      </c>
      <c r="B16" s="1" t="s">
        <v>17</v>
      </c>
      <c r="C16" s="1" t="s">
        <v>18</v>
      </c>
    </row>
    <row r="17" spans="1:9">
      <c r="A17" s="8" t="s">
        <v>19</v>
      </c>
      <c r="B17" s="3">
        <f>Iteration_4!O4</f>
        <v>3.6666666666666665</v>
      </c>
      <c r="C17" s="3">
        <f>Iteration_4!P4</f>
        <v>9</v>
      </c>
    </row>
    <row r="18" spans="1:9">
      <c r="A18" s="8" t="s">
        <v>20</v>
      </c>
      <c r="B18" s="3">
        <f>Iteration_4!O5</f>
        <v>7</v>
      </c>
      <c r="C18" s="3">
        <f>Iteration_4!P5</f>
        <v>4.333333333333333</v>
      </c>
    </row>
    <row r="19" spans="1:9">
      <c r="A19" s="8" t="s">
        <v>21</v>
      </c>
      <c r="B19" s="3">
        <f>Iteration_4!O6</f>
        <v>1.5</v>
      </c>
      <c r="C19" s="3">
        <f>Iteration_4!P6</f>
        <v>3.5</v>
      </c>
    </row>
    <row r="21" spans="1:9" ht="30" customHeight="1">
      <c r="A21" s="23" t="s">
        <v>22</v>
      </c>
      <c r="B21" s="23"/>
      <c r="C21" s="23"/>
      <c r="D21" s="23"/>
      <c r="E21" s="23"/>
      <c r="F21" s="23"/>
      <c r="G21" s="23"/>
      <c r="H21" s="23"/>
      <c r="I21" s="23"/>
    </row>
  </sheetData>
  <mergeCells count="2">
    <mergeCell ref="A1:E1"/>
    <mergeCell ref="A21:I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>
      <selection activeCell="K21" sqref="K21"/>
    </sheetView>
  </sheetViews>
  <sheetFormatPr defaultColWidth="8.6640625" defaultRowHeight="14.4"/>
  <cols>
    <col min="1" max="1" width="12" customWidth="1"/>
    <col min="2" max="3" width="6" customWidth="1"/>
    <col min="4" max="4" width="2" customWidth="1"/>
    <col min="5" max="5" width="14" customWidth="1"/>
    <col min="6" max="7" width="8" customWidth="1"/>
    <col min="8" max="8" width="2" customWidth="1"/>
    <col min="9" max="11" width="12" customWidth="1"/>
    <col min="12" max="12" width="10" customWidth="1"/>
    <col min="13" max="13" width="4.21875" customWidth="1"/>
    <col min="14" max="14" width="17.6640625" customWidth="1"/>
    <col min="15" max="16" width="9" customWidth="1"/>
  </cols>
  <sheetData>
    <row r="1" spans="1:16" ht="17.399999999999999">
      <c r="A1" s="22" t="s">
        <v>23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spans="1:16" ht="17.399999999999999">
      <c r="A3" s="1" t="s">
        <v>24</v>
      </c>
      <c r="B3" s="1" t="s">
        <v>17</v>
      </c>
      <c r="C3" s="1" t="s">
        <v>18</v>
      </c>
      <c r="E3" s="1" t="s">
        <v>25</v>
      </c>
      <c r="F3" s="1" t="s">
        <v>17</v>
      </c>
      <c r="G3" s="1" t="s">
        <v>18</v>
      </c>
      <c r="I3" s="1" t="s">
        <v>26</v>
      </c>
      <c r="J3" s="1" t="s">
        <v>27</v>
      </c>
      <c r="K3" s="1" t="s">
        <v>28</v>
      </c>
      <c r="L3" s="21" t="s">
        <v>16</v>
      </c>
      <c r="N3" s="1" t="s">
        <v>29</v>
      </c>
      <c r="O3" s="1" t="s">
        <v>17</v>
      </c>
      <c r="P3" s="1" t="s">
        <v>18</v>
      </c>
    </row>
    <row r="4" spans="1:16" ht="17.399999999999999">
      <c r="A4" s="2" t="s">
        <v>6</v>
      </c>
      <c r="B4" s="9">
        <v>2</v>
      </c>
      <c r="C4" s="9">
        <v>10</v>
      </c>
      <c r="E4" s="2" t="s">
        <v>30</v>
      </c>
      <c r="F4" s="10">
        <v>2</v>
      </c>
      <c r="G4" s="10">
        <v>10</v>
      </c>
      <c r="I4" s="11">
        <f>ROUND(SQRT((B4-$F$4)^2+(C4-$G$4)^2),2)</f>
        <v>0</v>
      </c>
      <c r="J4" s="11">
        <f t="shared" ref="J4:J11" si="0">ROUND(SQRT((B4-$F$5)^2+(C4-$G$5)^2),2)</f>
        <v>3.61</v>
      </c>
      <c r="K4" s="11">
        <f t="shared" ref="K4:K11" si="1">ROUND(SQRT((B4-$F$6)^2+(C4-$G$6)^2),2)</f>
        <v>8.06</v>
      </c>
      <c r="L4" s="18">
        <f>MATCH(MIN(I4:K4),   I4:K4,    0)</f>
        <v>1</v>
      </c>
      <c r="N4" s="4" t="s">
        <v>31</v>
      </c>
      <c r="O4" s="12">
        <f>AVERAGEIF($L$4:$L$11,   1,     $B$4:$B$11)</f>
        <v>2</v>
      </c>
      <c r="P4" s="12">
        <f>AVERAGEIF($L$4:$L$11,    1,   $C$4:$C$11)</f>
        <v>10</v>
      </c>
    </row>
    <row r="5" spans="1:16" ht="22.8">
      <c r="A5" s="2" t="s">
        <v>7</v>
      </c>
      <c r="B5" s="16">
        <v>2</v>
      </c>
      <c r="C5" s="9">
        <v>5</v>
      </c>
      <c r="E5" s="2" t="s">
        <v>32</v>
      </c>
      <c r="F5" s="10">
        <v>5</v>
      </c>
      <c r="G5" s="10">
        <v>8</v>
      </c>
      <c r="I5" s="11">
        <f t="shared" ref="I5:I11" si="2">ROUND(SQRT((B5-$F$4)^2+(C5-$G$4)^2),2)</f>
        <v>5</v>
      </c>
      <c r="J5" s="11">
        <f t="shared" si="0"/>
        <v>4.24</v>
      </c>
      <c r="K5" s="11">
        <f t="shared" si="1"/>
        <v>3.16</v>
      </c>
      <c r="L5" s="19">
        <f t="shared" ref="L5:L11" si="3">MATCH(MIN(I5:K5),   I5:K5,    0)</f>
        <v>3</v>
      </c>
      <c r="N5" s="4" t="s">
        <v>33</v>
      </c>
      <c r="O5" s="12">
        <f>AVERAGEIF($L$4:$L$11,   2,     $B$4:$B$11)</f>
        <v>6</v>
      </c>
      <c r="P5" s="12">
        <f>AVERAGEIF($L$4:$L$11,    2,   $C$4:$C$11)</f>
        <v>6</v>
      </c>
    </row>
    <row r="6" spans="1:16">
      <c r="A6" s="2" t="s">
        <v>8</v>
      </c>
      <c r="B6" s="9">
        <v>8</v>
      </c>
      <c r="C6" s="9">
        <v>4</v>
      </c>
      <c r="E6" s="2" t="s">
        <v>34</v>
      </c>
      <c r="F6" s="10">
        <v>1</v>
      </c>
      <c r="G6" s="10">
        <v>2</v>
      </c>
      <c r="I6" s="11">
        <f t="shared" si="2"/>
        <v>8.49</v>
      </c>
      <c r="J6" s="11">
        <f t="shared" si="0"/>
        <v>5</v>
      </c>
      <c r="K6" s="11">
        <f t="shared" si="1"/>
        <v>7.28</v>
      </c>
      <c r="L6" s="20">
        <f t="shared" si="3"/>
        <v>2</v>
      </c>
      <c r="N6" s="4" t="s">
        <v>35</v>
      </c>
      <c r="O6" s="12">
        <f>AVERAGEIF($L$4:$L$11,   3,     $B$4:$B$11)</f>
        <v>1.5</v>
      </c>
      <c r="P6" s="12">
        <f>AVERAGEIF($L$4:$L$11,    3,   $C$4:$C$11)</f>
        <v>3.5</v>
      </c>
    </row>
    <row r="7" spans="1:16">
      <c r="A7" s="4" t="s">
        <v>9</v>
      </c>
      <c r="B7" s="12">
        <v>5</v>
      </c>
      <c r="C7" s="12">
        <v>8</v>
      </c>
      <c r="I7" s="11">
        <f t="shared" si="2"/>
        <v>3.61</v>
      </c>
      <c r="J7" s="11">
        <f t="shared" si="0"/>
        <v>0</v>
      </c>
      <c r="K7" s="11">
        <f t="shared" si="1"/>
        <v>7.21</v>
      </c>
      <c r="L7" s="20">
        <f t="shared" si="3"/>
        <v>2</v>
      </c>
    </row>
    <row r="8" spans="1:16">
      <c r="A8" s="4" t="s">
        <v>10</v>
      </c>
      <c r="B8" s="12">
        <v>7</v>
      </c>
      <c r="C8" s="12">
        <v>5</v>
      </c>
      <c r="I8" s="11">
        <f t="shared" si="2"/>
        <v>7.07</v>
      </c>
      <c r="J8" s="11">
        <f t="shared" si="0"/>
        <v>3.61</v>
      </c>
      <c r="K8" s="11">
        <f t="shared" si="1"/>
        <v>6.71</v>
      </c>
      <c r="L8" s="20">
        <f t="shared" si="3"/>
        <v>2</v>
      </c>
    </row>
    <row r="9" spans="1:16">
      <c r="A9" s="4" t="s">
        <v>11</v>
      </c>
      <c r="B9" s="12">
        <v>6</v>
      </c>
      <c r="C9" s="12">
        <v>4</v>
      </c>
      <c r="I9" s="11">
        <f t="shared" si="2"/>
        <v>7.21</v>
      </c>
      <c r="J9" s="11">
        <f t="shared" si="0"/>
        <v>4.12</v>
      </c>
      <c r="K9" s="11">
        <f t="shared" si="1"/>
        <v>5.39</v>
      </c>
      <c r="L9" s="20">
        <f t="shared" si="3"/>
        <v>2</v>
      </c>
    </row>
    <row r="10" spans="1:16" ht="22.8">
      <c r="A10" s="5" t="s">
        <v>12</v>
      </c>
      <c r="B10" s="17">
        <v>1</v>
      </c>
      <c r="C10" s="13">
        <v>2</v>
      </c>
      <c r="I10" s="11">
        <f t="shared" si="2"/>
        <v>8.06</v>
      </c>
      <c r="J10" s="11">
        <f t="shared" si="0"/>
        <v>7.21</v>
      </c>
      <c r="K10" s="11">
        <f t="shared" si="1"/>
        <v>0</v>
      </c>
      <c r="L10" s="19">
        <f t="shared" si="3"/>
        <v>3</v>
      </c>
    </row>
    <row r="11" spans="1:16">
      <c r="A11" s="5" t="s">
        <v>13</v>
      </c>
      <c r="B11" s="13">
        <v>4</v>
      </c>
      <c r="C11" s="13">
        <v>9</v>
      </c>
      <c r="I11" s="11">
        <f t="shared" si="2"/>
        <v>2.2400000000000002</v>
      </c>
      <c r="J11" s="11">
        <f t="shared" si="0"/>
        <v>1.41</v>
      </c>
      <c r="K11" s="11">
        <f t="shared" si="1"/>
        <v>7.62</v>
      </c>
      <c r="L11" s="20">
        <f t="shared" si="3"/>
        <v>2</v>
      </c>
    </row>
    <row r="13" spans="1:16">
      <c r="A13" s="14" t="s">
        <v>36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3"/>
  <sheetViews>
    <sheetView workbookViewId="0">
      <selection activeCell="O4" sqref="O4:P6"/>
    </sheetView>
  </sheetViews>
  <sheetFormatPr defaultColWidth="8.6640625" defaultRowHeight="14.4"/>
  <cols>
    <col min="1" max="1" width="12" customWidth="1"/>
    <col min="2" max="3" width="6" customWidth="1"/>
    <col min="4" max="4" width="2" customWidth="1"/>
    <col min="5" max="5" width="14" customWidth="1"/>
    <col min="6" max="7" width="8" customWidth="1"/>
    <col min="8" max="8" width="2" customWidth="1"/>
    <col min="9" max="11" width="12" customWidth="1"/>
    <col min="12" max="12" width="9" customWidth="1"/>
    <col min="13" max="13" width="2" customWidth="1"/>
    <col min="14" max="14" width="17.77734375" customWidth="1"/>
    <col min="15" max="16" width="9" customWidth="1"/>
  </cols>
  <sheetData>
    <row r="1" spans="1:16" ht="17.399999999999999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spans="1:16">
      <c r="A3" s="1" t="s">
        <v>24</v>
      </c>
      <c r="B3" s="1" t="s">
        <v>17</v>
      </c>
      <c r="C3" s="1" t="s">
        <v>18</v>
      </c>
      <c r="E3" s="1" t="s">
        <v>25</v>
      </c>
      <c r="F3" s="1" t="s">
        <v>17</v>
      </c>
      <c r="G3" s="1" t="s">
        <v>18</v>
      </c>
      <c r="I3" s="1" t="s">
        <v>26</v>
      </c>
      <c r="J3" s="1" t="s">
        <v>27</v>
      </c>
      <c r="K3" s="1" t="s">
        <v>28</v>
      </c>
      <c r="L3" s="1" t="s">
        <v>16</v>
      </c>
      <c r="N3" s="1" t="s">
        <v>29</v>
      </c>
      <c r="O3" s="1" t="s">
        <v>17</v>
      </c>
      <c r="P3" s="1" t="s">
        <v>18</v>
      </c>
    </row>
    <row r="4" spans="1:16">
      <c r="A4" s="2" t="s">
        <v>6</v>
      </c>
      <c r="B4" s="9">
        <v>2</v>
      </c>
      <c r="C4" s="9">
        <v>10</v>
      </c>
      <c r="E4" s="2" t="s">
        <v>30</v>
      </c>
      <c r="F4" s="15">
        <f>Iteration_1!O4</f>
        <v>2</v>
      </c>
      <c r="G4" s="15">
        <f>Iteration_1!P4</f>
        <v>10</v>
      </c>
      <c r="I4" s="11">
        <f t="shared" ref="I4:I11" si="0">ROUND(SQRT((B4-$F$4)^2+(C4-$G$4)^2),2)</f>
        <v>0</v>
      </c>
      <c r="J4" s="11">
        <f t="shared" ref="J4:J11" si="1">ROUND(SQRT((B4-$F$5)^2+(C4-$G$5)^2),2)</f>
        <v>5.66</v>
      </c>
      <c r="K4" s="11">
        <f t="shared" ref="K4:K11" si="2">ROUND(SQRT((B4-$F$6)^2+(C4-$G$6)^2),2)</f>
        <v>6.52</v>
      </c>
      <c r="L4" s="8">
        <f t="shared" ref="L4:L11" si="3">MATCH(MIN(I4:K4),I4:K4,0)</f>
        <v>1</v>
      </c>
      <c r="N4" s="4" t="s">
        <v>31</v>
      </c>
      <c r="O4" s="12">
        <f>AVERAGEIF($L$4:$L$11,   1,     $B$4:$B$11)</f>
        <v>3</v>
      </c>
      <c r="P4" s="12">
        <f>AVERAGEIF($L$4:$L$11,    1,   $C$4:$C$11)</f>
        <v>9.5</v>
      </c>
    </row>
    <row r="5" spans="1:16">
      <c r="A5" s="2" t="s">
        <v>7</v>
      </c>
      <c r="B5" s="9">
        <v>2</v>
      </c>
      <c r="C5" s="9">
        <v>5</v>
      </c>
      <c r="E5" s="2" t="s">
        <v>32</v>
      </c>
      <c r="F5" s="15">
        <f>Iteration_1!O5</f>
        <v>6</v>
      </c>
      <c r="G5" s="15">
        <f>Iteration_1!P5</f>
        <v>6</v>
      </c>
      <c r="I5" s="11">
        <f t="shared" si="0"/>
        <v>5</v>
      </c>
      <c r="J5" s="11">
        <f t="shared" si="1"/>
        <v>4.12</v>
      </c>
      <c r="K5" s="11">
        <f t="shared" si="2"/>
        <v>1.58</v>
      </c>
      <c r="L5" s="8">
        <f t="shared" si="3"/>
        <v>3</v>
      </c>
      <c r="N5" s="4" t="s">
        <v>33</v>
      </c>
      <c r="O5" s="12">
        <f>AVERAGEIF($L$4:$L$11,   2,     $B$4:$B$11)</f>
        <v>6.5</v>
      </c>
      <c r="P5" s="12">
        <f>AVERAGEIF($L$4:$L$11,    2,   $C$4:$C$11)</f>
        <v>5.25</v>
      </c>
    </row>
    <row r="6" spans="1:16">
      <c r="A6" s="2" t="s">
        <v>8</v>
      </c>
      <c r="B6" s="9">
        <v>8</v>
      </c>
      <c r="C6" s="9">
        <v>4</v>
      </c>
      <c r="E6" s="2" t="s">
        <v>34</v>
      </c>
      <c r="F6" s="15">
        <f>Iteration_1!O6</f>
        <v>1.5</v>
      </c>
      <c r="G6" s="15">
        <f>Iteration_1!P6</f>
        <v>3.5</v>
      </c>
      <c r="I6" s="11">
        <f t="shared" si="0"/>
        <v>8.49</v>
      </c>
      <c r="J6" s="11">
        <f t="shared" si="1"/>
        <v>2.83</v>
      </c>
      <c r="K6" s="11">
        <f t="shared" si="2"/>
        <v>6.52</v>
      </c>
      <c r="L6" s="8">
        <f t="shared" si="3"/>
        <v>2</v>
      </c>
      <c r="N6" s="4" t="s">
        <v>35</v>
      </c>
      <c r="O6" s="12">
        <f>AVERAGEIF($L$4:$L$11,   3,     $B$4:$B$11)</f>
        <v>1.5</v>
      </c>
      <c r="P6" s="12">
        <f>AVERAGEIF($L$4:$L$11,    3,   $C$4:$C$11)</f>
        <v>3.5</v>
      </c>
    </row>
    <row r="7" spans="1:16">
      <c r="A7" s="4" t="s">
        <v>9</v>
      </c>
      <c r="B7" s="12">
        <v>5</v>
      </c>
      <c r="C7" s="12">
        <v>8</v>
      </c>
      <c r="I7" s="11">
        <f t="shared" si="0"/>
        <v>3.61</v>
      </c>
      <c r="J7" s="11">
        <f t="shared" si="1"/>
        <v>2.2400000000000002</v>
      </c>
      <c r="K7" s="11">
        <f t="shared" si="2"/>
        <v>5.7</v>
      </c>
      <c r="L7" s="8">
        <f t="shared" si="3"/>
        <v>2</v>
      </c>
    </row>
    <row r="8" spans="1:16">
      <c r="A8" s="4" t="s">
        <v>10</v>
      </c>
      <c r="B8" s="12">
        <v>7</v>
      </c>
      <c r="C8" s="12">
        <v>5</v>
      </c>
      <c r="I8" s="11">
        <f t="shared" si="0"/>
        <v>7.07</v>
      </c>
      <c r="J8" s="11">
        <f t="shared" si="1"/>
        <v>1.41</v>
      </c>
      <c r="K8" s="11">
        <f t="shared" si="2"/>
        <v>5.7</v>
      </c>
      <c r="L8" s="8">
        <f t="shared" si="3"/>
        <v>2</v>
      </c>
    </row>
    <row r="9" spans="1:16">
      <c r="A9" s="4" t="s">
        <v>11</v>
      </c>
      <c r="B9" s="12">
        <v>6</v>
      </c>
      <c r="C9" s="12">
        <v>4</v>
      </c>
      <c r="I9" s="11">
        <f t="shared" si="0"/>
        <v>7.21</v>
      </c>
      <c r="J9" s="11">
        <f t="shared" si="1"/>
        <v>2</v>
      </c>
      <c r="K9" s="11">
        <f t="shared" si="2"/>
        <v>4.53</v>
      </c>
      <c r="L9" s="8">
        <f t="shared" si="3"/>
        <v>2</v>
      </c>
    </row>
    <row r="10" spans="1:16">
      <c r="A10" s="5" t="s">
        <v>12</v>
      </c>
      <c r="B10" s="13">
        <v>1</v>
      </c>
      <c r="C10" s="13">
        <v>2</v>
      </c>
      <c r="I10" s="11">
        <f t="shared" si="0"/>
        <v>8.06</v>
      </c>
      <c r="J10" s="11">
        <f t="shared" si="1"/>
        <v>6.4</v>
      </c>
      <c r="K10" s="11">
        <f t="shared" si="2"/>
        <v>1.58</v>
      </c>
      <c r="L10" s="8">
        <f t="shared" si="3"/>
        <v>3</v>
      </c>
    </row>
    <row r="11" spans="1:16">
      <c r="A11" s="5" t="s">
        <v>13</v>
      </c>
      <c r="B11" s="13">
        <v>4</v>
      </c>
      <c r="C11" s="13">
        <v>9</v>
      </c>
      <c r="I11" s="11">
        <f t="shared" si="0"/>
        <v>2.2400000000000002</v>
      </c>
      <c r="J11" s="11">
        <f t="shared" si="1"/>
        <v>3.61</v>
      </c>
      <c r="K11" s="11">
        <f t="shared" si="2"/>
        <v>6.04</v>
      </c>
      <c r="L11" s="8">
        <f t="shared" si="3"/>
        <v>1</v>
      </c>
    </row>
    <row r="13" spans="1:16">
      <c r="A13" s="14" t="s">
        <v>36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3"/>
  <sheetViews>
    <sheetView workbookViewId="0">
      <selection activeCell="I18" sqref="I18"/>
    </sheetView>
  </sheetViews>
  <sheetFormatPr defaultColWidth="8.6640625" defaultRowHeight="14.4"/>
  <cols>
    <col min="1" max="1" width="12" customWidth="1"/>
    <col min="2" max="3" width="6" customWidth="1"/>
    <col min="4" max="4" width="2" customWidth="1"/>
    <col min="5" max="5" width="14" customWidth="1"/>
    <col min="6" max="7" width="8" customWidth="1"/>
    <col min="8" max="8" width="2" customWidth="1"/>
    <col min="9" max="11" width="12" customWidth="1"/>
    <col min="12" max="12" width="9" customWidth="1"/>
    <col min="13" max="13" width="2" customWidth="1"/>
    <col min="14" max="14" width="16" customWidth="1"/>
    <col min="15" max="16" width="9" customWidth="1"/>
  </cols>
  <sheetData>
    <row r="1" spans="1:16" ht="17.399999999999999">
      <c r="A1" s="22" t="s">
        <v>38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spans="1:16">
      <c r="A3" s="1" t="s">
        <v>24</v>
      </c>
      <c r="B3" s="1" t="s">
        <v>17</v>
      </c>
      <c r="C3" s="1" t="s">
        <v>18</v>
      </c>
      <c r="E3" s="1" t="s">
        <v>25</v>
      </c>
      <c r="F3" s="1" t="s">
        <v>17</v>
      </c>
      <c r="G3" s="1" t="s">
        <v>18</v>
      </c>
      <c r="I3" s="1" t="s">
        <v>26</v>
      </c>
      <c r="J3" s="1" t="s">
        <v>27</v>
      </c>
      <c r="K3" s="1" t="s">
        <v>28</v>
      </c>
      <c r="L3" s="1" t="s">
        <v>16</v>
      </c>
      <c r="N3" s="1" t="s">
        <v>29</v>
      </c>
      <c r="O3" s="1" t="s">
        <v>17</v>
      </c>
      <c r="P3" s="1" t="s">
        <v>18</v>
      </c>
    </row>
    <row r="4" spans="1:16">
      <c r="A4" s="2" t="s">
        <v>6</v>
      </c>
      <c r="B4" s="9">
        <v>2</v>
      </c>
      <c r="C4" s="9">
        <v>10</v>
      </c>
      <c r="E4" s="2" t="s">
        <v>30</v>
      </c>
      <c r="F4" s="15">
        <f>Iteration_2!O4</f>
        <v>3</v>
      </c>
      <c r="G4" s="15">
        <f>Iteration_2!P4</f>
        <v>9.5</v>
      </c>
      <c r="I4" s="11">
        <f t="shared" ref="I4:I11" si="0">ROUND(SQRT((B4-$F$4)^2+(C4-$G$4)^2),2)</f>
        <v>1.1200000000000001</v>
      </c>
      <c r="J4" s="11">
        <f t="shared" ref="J4:J11" si="1">ROUND(SQRT((B4-$F$5)^2+(C4-$G$5)^2),2)</f>
        <v>6.54</v>
      </c>
      <c r="K4" s="11">
        <f t="shared" ref="K4:K11" si="2">ROUND(SQRT((B4-$F$6)^2+(C4-$G$6)^2),2)</f>
        <v>6.52</v>
      </c>
      <c r="L4" s="8">
        <f t="shared" ref="L4:L11" si="3">MATCH(MIN(I4:K4),I4:K4,0)</f>
        <v>1</v>
      </c>
      <c r="N4" s="4" t="s">
        <v>31</v>
      </c>
      <c r="O4" s="12">
        <f>AVERAGEIF($L$4:$L$11,   1,     $B$4:$B$11)</f>
        <v>3.6666666666666665</v>
      </c>
      <c r="P4" s="12">
        <f>AVERAGEIF($L$4:$L$11,    1,   $C$4:$C$11)</f>
        <v>9</v>
      </c>
    </row>
    <row r="5" spans="1:16">
      <c r="A5" s="2" t="s">
        <v>7</v>
      </c>
      <c r="B5" s="9">
        <v>2</v>
      </c>
      <c r="C5" s="9">
        <v>5</v>
      </c>
      <c r="E5" s="2" t="s">
        <v>32</v>
      </c>
      <c r="F5" s="15">
        <f>Iteration_2!O5</f>
        <v>6.5</v>
      </c>
      <c r="G5" s="15">
        <f>Iteration_2!P5</f>
        <v>5.25</v>
      </c>
      <c r="I5" s="11">
        <f t="shared" si="0"/>
        <v>4.6100000000000003</v>
      </c>
      <c r="J5" s="11">
        <f t="shared" si="1"/>
        <v>4.51</v>
      </c>
      <c r="K5" s="11">
        <f t="shared" si="2"/>
        <v>1.58</v>
      </c>
      <c r="L5" s="8">
        <f t="shared" si="3"/>
        <v>3</v>
      </c>
      <c r="N5" s="4" t="s">
        <v>33</v>
      </c>
      <c r="O5" s="12">
        <f>AVERAGEIF($L$4:$L$11,   2,     $B$4:$B$11)</f>
        <v>7</v>
      </c>
      <c r="P5" s="12">
        <f>AVERAGEIF($L$4:$L$11,    2,   $C$4:$C$11)</f>
        <v>4.333333333333333</v>
      </c>
    </row>
    <row r="6" spans="1:16">
      <c r="A6" s="2" t="s">
        <v>8</v>
      </c>
      <c r="B6" s="9">
        <v>8</v>
      </c>
      <c r="C6" s="9">
        <v>4</v>
      </c>
      <c r="E6" s="2" t="s">
        <v>34</v>
      </c>
      <c r="F6" s="15">
        <f>Iteration_2!O6</f>
        <v>1.5</v>
      </c>
      <c r="G6" s="15">
        <f>Iteration_2!P6</f>
        <v>3.5</v>
      </c>
      <c r="I6" s="11">
        <f t="shared" si="0"/>
        <v>7.43</v>
      </c>
      <c r="J6" s="11">
        <f t="shared" si="1"/>
        <v>1.95</v>
      </c>
      <c r="K6" s="11">
        <f t="shared" si="2"/>
        <v>6.52</v>
      </c>
      <c r="L6" s="8">
        <f t="shared" si="3"/>
        <v>2</v>
      </c>
      <c r="N6" s="4" t="s">
        <v>35</v>
      </c>
      <c r="O6" s="12">
        <f>AVERAGEIF($L$4:$L$11,   3,     $B$4:$B$11)</f>
        <v>1.5</v>
      </c>
      <c r="P6" s="12">
        <f>AVERAGEIF($L$4:$L$11,    3,   $C$4:$C$11)</f>
        <v>3.5</v>
      </c>
    </row>
    <row r="7" spans="1:16">
      <c r="A7" s="4" t="s">
        <v>9</v>
      </c>
      <c r="B7" s="12">
        <v>5</v>
      </c>
      <c r="C7" s="12">
        <v>8</v>
      </c>
      <c r="I7" s="11">
        <f t="shared" si="0"/>
        <v>2.5</v>
      </c>
      <c r="J7" s="11">
        <f t="shared" si="1"/>
        <v>3.13</v>
      </c>
      <c r="K7" s="11">
        <f t="shared" si="2"/>
        <v>5.7</v>
      </c>
      <c r="L7" s="8">
        <f t="shared" si="3"/>
        <v>1</v>
      </c>
    </row>
    <row r="8" spans="1:16">
      <c r="A8" s="4" t="s">
        <v>10</v>
      </c>
      <c r="B8" s="12">
        <v>7</v>
      </c>
      <c r="C8" s="12">
        <v>5</v>
      </c>
      <c r="I8" s="11">
        <f t="shared" si="0"/>
        <v>6.02</v>
      </c>
      <c r="J8" s="11">
        <f t="shared" si="1"/>
        <v>0.56000000000000005</v>
      </c>
      <c r="K8" s="11">
        <f t="shared" si="2"/>
        <v>5.7</v>
      </c>
      <c r="L8" s="8">
        <f t="shared" si="3"/>
        <v>2</v>
      </c>
    </row>
    <row r="9" spans="1:16">
      <c r="A9" s="4" t="s">
        <v>11</v>
      </c>
      <c r="B9" s="12">
        <v>6</v>
      </c>
      <c r="C9" s="12">
        <v>4</v>
      </c>
      <c r="I9" s="11">
        <f t="shared" si="0"/>
        <v>6.26</v>
      </c>
      <c r="J9" s="11">
        <f t="shared" si="1"/>
        <v>1.35</v>
      </c>
      <c r="K9" s="11">
        <f t="shared" si="2"/>
        <v>4.53</v>
      </c>
      <c r="L9" s="8">
        <f t="shared" si="3"/>
        <v>2</v>
      </c>
    </row>
    <row r="10" spans="1:16">
      <c r="A10" s="5" t="s">
        <v>12</v>
      </c>
      <c r="B10" s="13">
        <v>1</v>
      </c>
      <c r="C10" s="13">
        <v>2</v>
      </c>
      <c r="I10" s="11">
        <f t="shared" si="0"/>
        <v>7.76</v>
      </c>
      <c r="J10" s="11">
        <f t="shared" si="1"/>
        <v>6.39</v>
      </c>
      <c r="K10" s="11">
        <f t="shared" si="2"/>
        <v>1.58</v>
      </c>
      <c r="L10" s="8">
        <f t="shared" si="3"/>
        <v>3</v>
      </c>
    </row>
    <row r="11" spans="1:16">
      <c r="A11" s="5" t="s">
        <v>13</v>
      </c>
      <c r="B11" s="13">
        <v>4</v>
      </c>
      <c r="C11" s="13">
        <v>9</v>
      </c>
      <c r="I11" s="11">
        <f t="shared" si="0"/>
        <v>1.1200000000000001</v>
      </c>
      <c r="J11" s="11">
        <f t="shared" si="1"/>
        <v>4.51</v>
      </c>
      <c r="K11" s="11">
        <f t="shared" si="2"/>
        <v>6.04</v>
      </c>
      <c r="L11" s="8">
        <f t="shared" si="3"/>
        <v>1</v>
      </c>
    </row>
    <row r="13" spans="1:16">
      <c r="A13" s="14" t="s">
        <v>36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3"/>
  <sheetViews>
    <sheetView workbookViewId="0">
      <selection activeCell="O4" sqref="O4"/>
    </sheetView>
  </sheetViews>
  <sheetFormatPr defaultColWidth="8.6640625" defaultRowHeight="14.4"/>
  <cols>
    <col min="1" max="1" width="12" customWidth="1"/>
    <col min="2" max="3" width="6" customWidth="1"/>
    <col min="4" max="4" width="2" customWidth="1"/>
    <col min="5" max="5" width="14" customWidth="1"/>
    <col min="6" max="7" width="8" customWidth="1"/>
    <col min="8" max="8" width="2" customWidth="1"/>
    <col min="9" max="11" width="12" customWidth="1"/>
    <col min="12" max="12" width="9" customWidth="1"/>
    <col min="13" max="13" width="2" customWidth="1"/>
    <col min="14" max="14" width="17.88671875" customWidth="1"/>
    <col min="15" max="16" width="9" customWidth="1"/>
  </cols>
  <sheetData>
    <row r="1" spans="1:16" ht="17.399999999999999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spans="1:16">
      <c r="A3" s="1" t="s">
        <v>24</v>
      </c>
      <c r="B3" s="1" t="s">
        <v>17</v>
      </c>
      <c r="C3" s="1" t="s">
        <v>18</v>
      </c>
      <c r="E3" s="1" t="s">
        <v>25</v>
      </c>
      <c r="F3" s="1" t="s">
        <v>17</v>
      </c>
      <c r="G3" s="1" t="s">
        <v>18</v>
      </c>
      <c r="I3" s="1" t="s">
        <v>26</v>
      </c>
      <c r="J3" s="1" t="s">
        <v>27</v>
      </c>
      <c r="K3" s="1" t="s">
        <v>28</v>
      </c>
      <c r="L3" s="1" t="s">
        <v>16</v>
      </c>
      <c r="N3" s="1" t="s">
        <v>29</v>
      </c>
      <c r="O3" s="1" t="s">
        <v>17</v>
      </c>
      <c r="P3" s="1" t="s">
        <v>18</v>
      </c>
    </row>
    <row r="4" spans="1:16">
      <c r="A4" s="2" t="s">
        <v>6</v>
      </c>
      <c r="B4" s="9">
        <v>2</v>
      </c>
      <c r="C4" s="9">
        <v>10</v>
      </c>
      <c r="E4" s="2" t="s">
        <v>30</v>
      </c>
      <c r="F4" s="15">
        <f>Iteration_3!O4</f>
        <v>3.6666666666666665</v>
      </c>
      <c r="G4" s="15">
        <f>Iteration_3!P4</f>
        <v>9</v>
      </c>
      <c r="I4" s="11">
        <f t="shared" ref="I4:I11" si="0">ROUND(SQRT((B4-$F$4)^2+(C4-$G$4)^2),2)</f>
        <v>1.94</v>
      </c>
      <c r="J4" s="11">
        <f t="shared" ref="J4:J11" si="1">ROUND(SQRT((B4-$F$5)^2+(C4-$G$5)^2),2)</f>
        <v>7.56</v>
      </c>
      <c r="K4" s="11">
        <f t="shared" ref="K4:K11" si="2">ROUND(SQRT((B4-$F$6)^2+(C4-$G$6)^2),2)</f>
        <v>6.52</v>
      </c>
      <c r="L4" s="8">
        <f>MATCH(MIN(I4:K4),I4:K4,0)</f>
        <v>1</v>
      </c>
      <c r="N4" s="4" t="s">
        <v>31</v>
      </c>
      <c r="O4" s="12">
        <f>AVERAGEIF($L$4:$L$11,   1,     $B$4:$B$11)</f>
        <v>3.6666666666666665</v>
      </c>
      <c r="P4" s="12">
        <f>AVERAGEIF($L$4:$L$11,    1,   $C$4:$C$11)</f>
        <v>9</v>
      </c>
    </row>
    <row r="5" spans="1:16">
      <c r="A5" s="2" t="s">
        <v>7</v>
      </c>
      <c r="B5" s="9">
        <v>2</v>
      </c>
      <c r="C5" s="9">
        <v>5</v>
      </c>
      <c r="E5" s="2" t="s">
        <v>32</v>
      </c>
      <c r="F5" s="15">
        <f>Iteration_3!O5</f>
        <v>7</v>
      </c>
      <c r="G5" s="15">
        <f>Iteration_3!P5</f>
        <v>4.333333333333333</v>
      </c>
      <c r="I5" s="11">
        <f t="shared" si="0"/>
        <v>4.33</v>
      </c>
      <c r="J5" s="11">
        <f t="shared" si="1"/>
        <v>5.04</v>
      </c>
      <c r="K5" s="11">
        <f t="shared" si="2"/>
        <v>1.58</v>
      </c>
      <c r="L5" s="8">
        <f t="shared" ref="L5:L11" si="3">MATCH(MIN(I5:K5),I5:K5,0)</f>
        <v>3</v>
      </c>
      <c r="N5" s="4" t="s">
        <v>33</v>
      </c>
      <c r="O5" s="12">
        <f>AVERAGEIF($L$4:$L$11,   2,     $B$4:$B$11)</f>
        <v>7</v>
      </c>
      <c r="P5" s="12">
        <f>AVERAGEIF($L$4:$L$11,    2,   $C$4:$C$11)</f>
        <v>4.333333333333333</v>
      </c>
    </row>
    <row r="6" spans="1:16">
      <c r="A6" s="2" t="s">
        <v>8</v>
      </c>
      <c r="B6" s="9">
        <v>8</v>
      </c>
      <c r="C6" s="9">
        <v>4</v>
      </c>
      <c r="E6" s="2" t="s">
        <v>34</v>
      </c>
      <c r="F6" s="15">
        <f>Iteration_3!O6</f>
        <v>1.5</v>
      </c>
      <c r="G6" s="15">
        <f>Iteration_3!P6</f>
        <v>3.5</v>
      </c>
      <c r="I6" s="11">
        <f t="shared" si="0"/>
        <v>6.62</v>
      </c>
      <c r="J6" s="11">
        <f t="shared" si="1"/>
        <v>1.05</v>
      </c>
      <c r="K6" s="11">
        <f t="shared" si="2"/>
        <v>6.52</v>
      </c>
      <c r="L6" s="8">
        <f t="shared" si="3"/>
        <v>2</v>
      </c>
      <c r="N6" s="4" t="s">
        <v>35</v>
      </c>
      <c r="O6" s="12">
        <f>AVERAGEIF($L$4:$L$11,   3,     $B$4:$B$11)</f>
        <v>1.5</v>
      </c>
      <c r="P6" s="12">
        <f>AVERAGEIF($L$4:$L$11,    3,   $C$4:$C$11)</f>
        <v>3.5</v>
      </c>
    </row>
    <row r="7" spans="1:16">
      <c r="A7" s="4" t="s">
        <v>9</v>
      </c>
      <c r="B7" s="12">
        <v>5</v>
      </c>
      <c r="C7" s="12">
        <v>8</v>
      </c>
      <c r="I7" s="11">
        <f t="shared" si="0"/>
        <v>1.67</v>
      </c>
      <c r="J7" s="11">
        <f t="shared" si="1"/>
        <v>4.18</v>
      </c>
      <c r="K7" s="11">
        <f t="shared" si="2"/>
        <v>5.7</v>
      </c>
      <c r="L7" s="8">
        <f t="shared" si="3"/>
        <v>1</v>
      </c>
    </row>
    <row r="8" spans="1:16">
      <c r="A8" s="4" t="s">
        <v>10</v>
      </c>
      <c r="B8" s="12">
        <v>7</v>
      </c>
      <c r="C8" s="12">
        <v>5</v>
      </c>
      <c r="I8" s="11">
        <f t="shared" si="0"/>
        <v>5.21</v>
      </c>
      <c r="J8" s="11">
        <f t="shared" si="1"/>
        <v>0.67</v>
      </c>
      <c r="K8" s="11">
        <f t="shared" si="2"/>
        <v>5.7</v>
      </c>
      <c r="L8" s="8">
        <f t="shared" si="3"/>
        <v>2</v>
      </c>
    </row>
    <row r="9" spans="1:16">
      <c r="A9" s="4" t="s">
        <v>11</v>
      </c>
      <c r="B9" s="12">
        <v>6</v>
      </c>
      <c r="C9" s="12">
        <v>4</v>
      </c>
      <c r="I9" s="11">
        <f t="shared" si="0"/>
        <v>5.52</v>
      </c>
      <c r="J9" s="11">
        <f t="shared" si="1"/>
        <v>1.05</v>
      </c>
      <c r="K9" s="11">
        <f t="shared" si="2"/>
        <v>4.53</v>
      </c>
      <c r="L9" s="8">
        <f t="shared" si="3"/>
        <v>2</v>
      </c>
    </row>
    <row r="10" spans="1:16">
      <c r="A10" s="5" t="s">
        <v>12</v>
      </c>
      <c r="B10" s="13">
        <v>1</v>
      </c>
      <c r="C10" s="13">
        <v>2</v>
      </c>
      <c r="I10" s="11">
        <f t="shared" si="0"/>
        <v>7.49</v>
      </c>
      <c r="J10" s="11">
        <f t="shared" si="1"/>
        <v>6.44</v>
      </c>
      <c r="K10" s="11">
        <f t="shared" si="2"/>
        <v>1.58</v>
      </c>
      <c r="L10" s="8">
        <f t="shared" si="3"/>
        <v>3</v>
      </c>
    </row>
    <row r="11" spans="1:16">
      <c r="A11" s="5" t="s">
        <v>13</v>
      </c>
      <c r="B11" s="13">
        <v>4</v>
      </c>
      <c r="C11" s="13">
        <v>9</v>
      </c>
      <c r="I11" s="11">
        <f t="shared" si="0"/>
        <v>0.33</v>
      </c>
      <c r="J11" s="11">
        <f t="shared" si="1"/>
        <v>5.55</v>
      </c>
      <c r="K11" s="11">
        <f t="shared" si="2"/>
        <v>6.04</v>
      </c>
      <c r="L11" s="8">
        <f t="shared" si="3"/>
        <v>1</v>
      </c>
    </row>
    <row r="13" spans="1:16">
      <c r="A13" s="14" t="s">
        <v>36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Iteration_1</vt:lpstr>
      <vt:lpstr>Iteration_2</vt:lpstr>
      <vt:lpstr>Iteration_3</vt:lpstr>
      <vt:lpstr>Iteration_4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hemungshew borgohain</cp:lastModifiedBy>
  <cp:revision>0</cp:revision>
  <dcterms:created xsi:type="dcterms:W3CDTF">2026-08-26T06:48:02Z</dcterms:created>
  <dcterms:modified xsi:type="dcterms:W3CDTF">2026-08-27T05:03:46Z</dcterms:modified>
  <dc:language>en-US</dc:language>
</cp:coreProperties>
</file>