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emf" ContentType="image/x-emf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 activeTab="2"/>
  </bookViews>
  <sheets>
    <sheet name="k_means" sheetId="1" r:id="rId1"/>
    <sheet name="MEDOID" sheetId="7" r:id="rId2"/>
    <sheet name="K_MEAN_2D" sheetId="8" r:id="rId3"/>
    <sheet name="id3" sheetId="2" r:id="rId4"/>
    <sheet name="id3_py" sheetId="3" r:id="rId5"/>
    <sheet name="py_salary" sheetId="4" r:id="rId6"/>
    <sheet name="id3_part_R" sheetId="5" r:id="rId7"/>
    <sheet name="id3_py1" sheetId="6" r:id="rId8"/>
    <sheet name="AverageIF" sheetId="9" r:id="rId9"/>
  </sheets>
  <calcPr calcId="124519"/>
</workbook>
</file>

<file path=xl/calcChain.xml><?xml version="1.0" encoding="utf-8"?>
<calcChain xmlns="http://schemas.openxmlformats.org/spreadsheetml/2006/main">
  <c r="J13" i="8"/>
  <c r="I13"/>
  <c r="E8" i="9"/>
  <c r="E7"/>
  <c r="A9"/>
  <c r="A8"/>
  <c r="A7"/>
  <c r="L28" i="8"/>
  <c r="L29"/>
  <c r="L30"/>
  <c r="D3" l="1"/>
  <c r="E4"/>
  <c r="F4"/>
  <c r="E5"/>
  <c r="F5"/>
  <c r="E6"/>
  <c r="F6"/>
  <c r="E7"/>
  <c r="F7"/>
  <c r="E8"/>
  <c r="F8"/>
  <c r="E9"/>
  <c r="F9"/>
  <c r="E10"/>
  <c r="F10"/>
  <c r="F3"/>
  <c r="E3"/>
  <c r="D4"/>
  <c r="D5"/>
  <c r="D6"/>
  <c r="D7"/>
  <c r="D8"/>
  <c r="D9"/>
  <c r="D10"/>
  <c r="G5" l="1"/>
  <c r="I5"/>
  <c r="J5" s="1"/>
  <c r="G7"/>
  <c r="I7"/>
  <c r="J7" s="1"/>
  <c r="G3"/>
  <c r="I3"/>
  <c r="J3" s="1"/>
  <c r="G10"/>
  <c r="I10"/>
  <c r="J10" s="1"/>
  <c r="G6"/>
  <c r="I6"/>
  <c r="J6" s="1"/>
  <c r="G8"/>
  <c r="I8"/>
  <c r="J8" s="1"/>
  <c r="G4"/>
  <c r="I4"/>
  <c r="J4" s="1"/>
  <c r="G9"/>
  <c r="I9"/>
  <c r="J9" s="1"/>
  <c r="K3"/>
  <c r="K7"/>
  <c r="K8"/>
  <c r="K4"/>
  <c r="K9"/>
  <c r="K5"/>
  <c r="K10"/>
  <c r="K6"/>
  <c r="E3" i="7"/>
  <c r="E4"/>
  <c r="E5"/>
  <c r="E6"/>
  <c r="E7"/>
  <c r="E8"/>
  <c r="E9"/>
  <c r="E10"/>
  <c r="E11"/>
  <c r="E2"/>
  <c r="D2"/>
  <c r="D3"/>
  <c r="D4"/>
  <c r="F4" s="1"/>
  <c r="D5"/>
  <c r="F5" s="1"/>
  <c r="D6"/>
  <c r="F6" s="1"/>
  <c r="D7"/>
  <c r="D8"/>
  <c r="F8" s="1"/>
  <c r="D9"/>
  <c r="F9" s="1"/>
  <c r="D10"/>
  <c r="F10" s="1"/>
  <c r="D11"/>
  <c r="F2" l="1"/>
  <c r="F11"/>
  <c r="F7"/>
  <c r="F3"/>
  <c r="I15" i="8"/>
  <c r="J14"/>
  <c r="J15"/>
  <c r="I14"/>
  <c r="F2" i="1"/>
  <c r="E2"/>
  <c r="K11"/>
  <c r="C15" s="1"/>
  <c r="C14"/>
  <c r="I6"/>
  <c r="H3"/>
  <c r="H4"/>
  <c r="H5"/>
  <c r="H6"/>
  <c r="H7"/>
  <c r="H8"/>
  <c r="H9"/>
  <c r="H10"/>
  <c r="H2"/>
  <c r="G2"/>
  <c r="E10"/>
  <c r="C38"/>
  <c r="C37"/>
  <c r="M34"/>
  <c r="K34"/>
  <c r="E26"/>
  <c r="G26" s="1"/>
  <c r="F26"/>
  <c r="E27"/>
  <c r="F27"/>
  <c r="E28"/>
  <c r="G28" s="1"/>
  <c r="F28"/>
  <c r="E29"/>
  <c r="F29"/>
  <c r="E30"/>
  <c r="G30" s="1"/>
  <c r="F30"/>
  <c r="E31"/>
  <c r="F31"/>
  <c r="E32"/>
  <c r="G32" s="1"/>
  <c r="F32"/>
  <c r="E33"/>
  <c r="F33"/>
  <c r="F25"/>
  <c r="E25"/>
  <c r="G33"/>
  <c r="G31"/>
  <c r="G29"/>
  <c r="G27"/>
  <c r="C26"/>
  <c r="C25"/>
  <c r="M23"/>
  <c r="K23"/>
  <c r="G16"/>
  <c r="G6"/>
  <c r="E15"/>
  <c r="G15"/>
  <c r="E16"/>
  <c r="E17"/>
  <c r="G17" s="1"/>
  <c r="E18"/>
  <c r="E19"/>
  <c r="G19" s="1"/>
  <c r="E20"/>
  <c r="G20" s="1"/>
  <c r="E21"/>
  <c r="G21" s="1"/>
  <c r="E22"/>
  <c r="E14"/>
  <c r="G18"/>
  <c r="G22"/>
  <c r="G14"/>
  <c r="F15"/>
  <c r="F16"/>
  <c r="F17"/>
  <c r="F18"/>
  <c r="F19"/>
  <c r="F20"/>
  <c r="F21"/>
  <c r="F22"/>
  <c r="F14"/>
  <c r="F3"/>
  <c r="F4"/>
  <c r="F5"/>
  <c r="F6"/>
  <c r="F7"/>
  <c r="F8"/>
  <c r="F9"/>
  <c r="F10"/>
  <c r="G3"/>
  <c r="G4"/>
  <c r="G5"/>
  <c r="G7"/>
  <c r="G8"/>
  <c r="G9"/>
  <c r="G10"/>
  <c r="E3"/>
  <c r="E4"/>
  <c r="E5"/>
  <c r="E6"/>
  <c r="E7"/>
  <c r="E8"/>
  <c r="E9"/>
  <c r="J11" i="2"/>
  <c r="P12"/>
  <c r="M15" s="1"/>
  <c r="K17" s="1"/>
  <c r="Q25" s="1"/>
  <c r="K5"/>
  <c r="O10"/>
  <c r="K6"/>
  <c r="G172" i="3"/>
  <c r="G175" s="1"/>
  <c r="F173"/>
  <c r="G173" s="1"/>
  <c r="F174"/>
  <c r="G174" s="1"/>
  <c r="F172"/>
  <c r="U12" i="2"/>
  <c r="U11"/>
  <c r="U10"/>
  <c r="U17"/>
  <c r="U18"/>
  <c r="T11"/>
  <c r="T18"/>
  <c r="T17"/>
  <c r="T10"/>
  <c r="Q12"/>
  <c r="O11"/>
  <c r="R5"/>
  <c r="R3"/>
  <c r="R4"/>
  <c r="R2"/>
  <c r="R23"/>
  <c r="P11"/>
  <c r="P10"/>
  <c r="A51" i="3"/>
  <c r="A72"/>
  <c r="A110"/>
  <c r="A128"/>
  <c r="A152"/>
  <c r="B177"/>
  <c r="T2" i="2"/>
  <c r="T3"/>
  <c r="S2"/>
  <c r="U2"/>
  <c r="B14"/>
  <c r="I11"/>
  <c r="I10"/>
  <c r="I9"/>
  <c r="D25"/>
  <c r="C25"/>
  <c r="B25"/>
  <c r="B19"/>
  <c r="F19"/>
  <c r="B15"/>
  <c r="B16"/>
  <c r="F17"/>
  <c r="E17"/>
  <c r="D17"/>
  <c r="C17"/>
  <c r="C16"/>
  <c r="C15"/>
  <c r="D15"/>
  <c r="E15"/>
  <c r="E14"/>
  <c r="F15"/>
  <c r="F14"/>
  <c r="C14"/>
  <c r="D14"/>
  <c r="G25" i="1" l="1"/>
  <c r="U19" i="2"/>
  <c r="T12"/>
  <c r="T19"/>
  <c r="O12"/>
  <c r="B17"/>
</calcChain>
</file>

<file path=xl/sharedStrings.xml><?xml version="1.0" encoding="utf-8"?>
<sst xmlns="http://schemas.openxmlformats.org/spreadsheetml/2006/main" count="1450" uniqueCount="924">
  <si>
    <t>Decision Tree - ID3 Algorithm numerical example to calculate Entropy and Gains</t>
  </si>
  <si>
    <r>
      <t xml:space="preserve">I need Python code and also excel formula how to calculate ==&gt; </t>
    </r>
    <r>
      <rPr>
        <sz val="16"/>
        <color theme="1"/>
        <rFont val="Calibri"/>
        <family val="2"/>
        <scheme val="minor"/>
      </rPr>
      <t>Entropy and Gains</t>
    </r>
  </si>
  <si>
    <t>Day</t>
  </si>
  <si>
    <t>Outlook</t>
  </si>
  <si>
    <t>Temp</t>
  </si>
  <si>
    <t>Humidity</t>
  </si>
  <si>
    <t>Wind</t>
  </si>
  <si>
    <t>PlayTennis</t>
  </si>
  <si>
    <t>D1</t>
  </si>
  <si>
    <t>Sunny</t>
  </si>
  <si>
    <t>Hot</t>
  </si>
  <si>
    <t>High</t>
  </si>
  <si>
    <t>Weak</t>
  </si>
  <si>
    <t>No</t>
  </si>
  <si>
    <t>D2</t>
  </si>
  <si>
    <t>Strong</t>
  </si>
  <si>
    <t>D3</t>
  </si>
  <si>
    <t>Overcast</t>
  </si>
  <si>
    <t>Yes</t>
  </si>
  <si>
    <t>D4</t>
  </si>
  <si>
    <t>Rain</t>
  </si>
  <si>
    <t>Mild</t>
  </si>
  <si>
    <t>D5</t>
  </si>
  <si>
    <t>Cool</t>
  </si>
  <si>
    <t>Normal</t>
  </si>
  <si>
    <t>D6</t>
  </si>
  <si>
    <t>D7</t>
  </si>
  <si>
    <t>D8</t>
  </si>
  <si>
    <t>D9</t>
  </si>
  <si>
    <t>D10</t>
  </si>
  <si>
    <t>D11</t>
  </si>
  <si>
    <t>D12</t>
  </si>
  <si>
    <t>2. First calculate the overall Entropy</t>
  </si>
  <si>
    <t>There are:</t>
  </si>
  <si>
    <t>Yes = 8</t>
  </si>
  <si>
    <t>No = 4</t>
  </si>
  <si>
    <t>Total = 12</t>
  </si>
  <si>
    <t>The ID3 entropy formula is:</t>
  </si>
  <si>
    <t>Total</t>
  </si>
  <si>
    <t>Entropy</t>
  </si>
  <si>
    <t>Weight</t>
  </si>
  <si>
    <t>Weighted Entropy</t>
  </si>
  <si>
    <t>F) First calculate the overall Entropy</t>
  </si>
  <si>
    <t xml:space="preserve">No </t>
  </si>
  <si>
    <t xml:space="preserve">Total = </t>
  </si>
  <si>
    <t>There are 5 records:</t>
  </si>
  <si>
    <t>what excel formula for count (get information about) ==&gt; Sunny =&gt; Yes =2 &amp; No 3</t>
  </si>
  <si>
    <t>F</t>
  </si>
  <si>
    <t>Count</t>
  </si>
  <si>
    <t>Today 1:41 PM</t>
  </si>
  <si>
    <t>I need Python code and also excel formula how to calculate ==&gt; Entropy and Gains Decision Tree - ID3 Algorithm numerical example to calculate Entropy and Gains</t>
  </si>
  <si>
    <t>1. Your dataset</t>
  </si>
  <si>
    <t>Enter the data in Excel like this:</t>
  </si>
  <si>
    <t>Entropy(S)=−pYes​log2​(pYes​)−pNo​log2​(pNo​)</t>
  </si>
  <si>
    <t>Therefore:</t>
  </si>
  <si>
    <t>Entropy(S)=−128​log2​128​−124​log2​124​ Entropy(S)=0.9183​</t>
  </si>
  <si>
    <t>3. Excel formula for Entropy</t>
  </si>
  <si>
    <t>You can directly use:</t>
  </si>
  <si>
    <t xml:space="preserve"> -(COUNTIF(F2:F13,"No")/COUNTA(F2:F13))*LOG(COUNTIF(F2:F13,"No")/COUNTA(F2:F13),2)</t>
  </si>
  <si>
    <t>Result:</t>
  </si>
  <si>
    <t>or rounded:</t>
  </si>
  <si>
    <t>A simpler way to understand it</t>
  </si>
  <si>
    <t>You can create a small table:</t>
  </si>
  <si>
    <t>Class</t>
  </si>
  <si>
    <t>Probability</t>
  </si>
  <si>
    <t>Entropy component</t>
  </si>
  <si>
    <t>8/12 = 0.6667</t>
  </si>
  <si>
    <t>-0.6667 log₂(0.6667)</t>
  </si>
  <si>
    <t>4/12 = 0.3333</t>
  </si>
  <si>
    <t>-0.3333 log₂(0.3333)</t>
  </si>
  <si>
    <t>Then:</t>
  </si>
  <si>
    <t>4. Now calculate Information Gain for Outlook</t>
  </si>
  <si>
    <t>The formula is:</t>
  </si>
  <si>
    <t>Gain(S,A)=Entropy(S)−v∑​∣S∣∣Sv​∣​Entropy(Sv​)</t>
  </si>
  <si>
    <t>A. Outlook = Sunny</t>
  </si>
  <si>
    <t>Result</t>
  </si>
  <si>
    <t>Entropy(Sunny)=−52​log2​52​−53​log2​53​ 0.9710​</t>
  </si>
  <si>
    <t>Excel:</t>
  </si>
  <si>
    <t>B. Outlook = Overcast</t>
  </si>
  <si>
    <t>There are 3 records:</t>
  </si>
  <si>
    <t>Entropy(Overcast)=0</t>
  </si>
  <si>
    <t>C. Outlook = Rain</t>
  </si>
  <si>
    <t>There are 4 records:</t>
  </si>
  <si>
    <t>Entropy(Rain)=−43​log2​43​−41​log2​41​ 0.8113​</t>
  </si>
  <si>
    <t>5. Weighted Entropy for Outlook</t>
  </si>
  <si>
    <t>Now we combine the three groups.</t>
  </si>
  <si>
    <t>WeightedEntropy(Outlook) =125​(0.9710)+123​(0)+124​(0.8113) =0.6750</t>
  </si>
  <si>
    <t>Gain(Outlook)=0.9183−0.6750 Gain(Outlook)=0.2433​</t>
  </si>
  <si>
    <t>6. Excel calculation for Outlook</t>
  </si>
  <si>
    <t>You could make a table like this:</t>
  </si>
  <si>
    <t>Gain(Outlook)=0.2433​</t>
  </si>
  <si>
    <t>7. Now do the same for all four attributes</t>
  </si>
  <si>
    <t>This is where ID3 becomes interesting.</t>
  </si>
  <si>
    <t>We get:</t>
  </si>
  <si>
    <t>Attribute</t>
  </si>
  <si>
    <t>Information Gain</t>
  </si>
  <si>
    <t>Outlook has the highest Information Gain​</t>
  </si>
  <si>
    <t>8. The ID3 decision at the first step</t>
  </si>
  <si>
    <t>Conceptually:</t>
  </si>
  <si>
    <t xml:space="preserve">                 Outlook</t>
  </si>
  <si>
    <t xml:space="preserve">              /     |      \</t>
  </si>
  <si>
    <t xml:space="preserve">          Sunny  Overcast   Rain</t>
  </si>
  <si>
    <t>Because:</t>
  </si>
  <si>
    <t>Gain(Outlook) = 0.2433  ← highest</t>
  </si>
  <si>
    <t>So ID3 says:</t>
  </si>
  <si>
    <t>That is the central idea of ID3.</t>
  </si>
  <si>
    <t>9. Python code — complete calculation</t>
  </si>
  <si>
    <t>import pandas as pd</t>
  </si>
  <si>
    <t>import math</t>
  </si>
  <si>
    <t># ---------------------------------------</t>
  </si>
  <si>
    <t># Create the dataset</t>
  </si>
  <si>
    <t>data = {</t>
  </si>
  <si>
    <t xml:space="preserve">    "Day": ["D1","D2","D3","D4","D5","D6",</t>
  </si>
  <si>
    <t xml:space="preserve">            "D7","D8","D9","D10","D11","D12"],</t>
  </si>
  <si>
    <t xml:space="preserve">    "Outlook": ["Sunny","Sunny","Overcast","Rain",</t>
  </si>
  <si>
    <t xml:space="preserve">                "Rain","Rain","Overcast","Sunny",</t>
  </si>
  <si>
    <t xml:space="preserve">                "Sunny","Rain","Sunny","Overcast"],</t>
  </si>
  <si>
    <t xml:space="preserve">    "Temp": ["Hot","Hot","Hot","Mild",</t>
  </si>
  <si>
    <t xml:space="preserve">             "Cool","Cool","Cool","Mild",</t>
  </si>
  <si>
    <t xml:space="preserve">             "Cool","Mild","Mild","Mild"],</t>
  </si>
  <si>
    <t xml:space="preserve">    "Humidity": ["High","High","High","High",</t>
  </si>
  <si>
    <t xml:space="preserve">                 "Normal","Normal","Normal","High",</t>
  </si>
  <si>
    <t xml:space="preserve">                 "Normal","Normal","Normal","High"],</t>
  </si>
  <si>
    <t xml:space="preserve">    "Wind": ["Weak","Strong","Weak","Weak",</t>
  </si>
  <si>
    <t xml:space="preserve">             "Weak","Strong","Strong","Weak",</t>
  </si>
  <si>
    <t xml:space="preserve">             "Weak","Weak","Strong","Strong"],</t>
  </si>
  <si>
    <t xml:space="preserve">    "PlayTennis": ["No","No","Yes","Yes",</t>
  </si>
  <si>
    <t xml:space="preserve">                   "Yes","No","Yes","No",</t>
  </si>
  <si>
    <t xml:space="preserve">                   "Yes","Yes","Yes","Yes"]</t>
  </si>
  <si>
    <t>}</t>
  </si>
  <si>
    <t>df = pd.DataFrame(data)</t>
  </si>
  <si>
    <t>print(df)</t>
  </si>
  <si>
    <t>10. Python function to calculate Entropy</t>
  </si>
  <si>
    <t>def entropy(data):</t>
  </si>
  <si>
    <t xml:space="preserve">    </t>
  </si>
  <si>
    <t xml:space="preserve">    counts = data.value_counts()</t>
  </si>
  <si>
    <t xml:space="preserve">    total = len(data)</t>
  </si>
  <si>
    <t xml:space="preserve">    ent = 0</t>
  </si>
  <si>
    <t xml:space="preserve">    for count in counts:</t>
  </si>
  <si>
    <t xml:space="preserve">        probability = count / total</t>
  </si>
  <si>
    <t xml:space="preserve">        ent -= probability * math.log2(probability)</t>
  </si>
  <si>
    <t xml:space="preserve">    return ent</t>
  </si>
  <si>
    <t>Now:</t>
  </si>
  <si>
    <t>E = entropy(df["PlayTennis"])</t>
  </si>
  <si>
    <t>print("Overall Entropy =", E)</t>
  </si>
  <si>
    <t>Output:</t>
  </si>
  <si>
    <t>Overall Entropy = 0.9182958340544896</t>
  </si>
  <si>
    <t>Entropy(S)=0.9183​</t>
  </si>
  <si>
    <t>11. Python function for Information Gain</t>
  </si>
  <si>
    <t xml:space="preserve">    # Entropy of complete dataset</t>
  </si>
  <si>
    <t xml:space="preserve">    total_entropy = entropy(df[target])</t>
  </si>
  <si>
    <t xml:space="preserve">    # Weighted entropy after splitting</t>
  </si>
  <si>
    <t xml:space="preserve">    weighted_entropy = 0</t>
  </si>
  <si>
    <t xml:space="preserve">        </t>
  </si>
  <si>
    <t xml:space="preserve">        weight = len(group) / len(df)</t>
  </si>
  <si>
    <t xml:space="preserve">        group_entropy = entropy(group[target])</t>
  </si>
  <si>
    <t xml:space="preserve">        weighted_entropy += weight * group_entropy</t>
  </si>
  <si>
    <t xml:space="preserve">        print(</t>
  </si>
  <si>
    <t xml:space="preserve">            attribute, "=", value,</t>
  </si>
  <si>
    <t xml:space="preserve">            "| Records =", len(group),</t>
  </si>
  <si>
    <t xml:space="preserve">            "| Entropy =", round(group_entropy, 4)</t>
  </si>
  <si>
    <t xml:space="preserve">        )</t>
  </si>
  <si>
    <t xml:space="preserve">    gain = total_entropy - weighted_entropy</t>
  </si>
  <si>
    <t xml:space="preserve">    return gain</t>
  </si>
  <si>
    <t>12. Calculate Gain for Outlook</t>
  </si>
  <si>
    <t>print("\nInformation Gain for Outlook =", gain_outlook)</t>
  </si>
  <si>
    <t>You will get approximately:</t>
  </si>
  <si>
    <t>Outlook = Overcast | Records = 3 | Entropy = 0.0</t>
  </si>
  <si>
    <t>Outlook = Rain     | Records = 4 | Entropy = 0.8113</t>
  </si>
  <si>
    <t>Outlook = Sunny    | Records = 5 | Entropy = 0.971</t>
  </si>
  <si>
    <t>Information Gain for Outlook = 0.24330704487866672</t>
  </si>
  <si>
    <t>13. Calculate Gain for every attribute</t>
  </si>
  <si>
    <t>attributes = ["Outlook", "Temp", "Humidity", "Wind"]</t>
  </si>
  <si>
    <t>for attribute in attributes:</t>
  </si>
  <si>
    <t xml:space="preserve">    gain = information_gain(df, attribute)</t>
  </si>
  <si>
    <t xml:space="preserve">    print(</t>
  </si>
  <si>
    <t xml:space="preserve">        f"\n{attribute} Information Gain = {gain:.4f}"</t>
  </si>
  <si>
    <t xml:space="preserve">    )</t>
  </si>
  <si>
    <t>But we can make the output much cleaner:</t>
  </si>
  <si>
    <t>results = []</t>
  </si>
  <si>
    <t xml:space="preserve">    results.append({</t>
  </si>
  <si>
    <t xml:space="preserve">        "Attribute": attribute,</t>
  </si>
  <si>
    <t xml:space="preserve">        "Information Gain": gain</t>
  </si>
  <si>
    <t xml:space="preserve">    })</t>
  </si>
  <si>
    <t>gain_table = pd.DataFrame(results)</t>
  </si>
  <si>
    <t>print(gain_table)</t>
  </si>
  <si>
    <t>You should obtain approximately:</t>
  </si>
  <si>
    <t xml:space="preserve">   Attribute  Information Gain</t>
  </si>
  <si>
    <t>0    Outlook          0.243307</t>
  </si>
  <si>
    <t>1       Temp          0.117492</t>
  </si>
  <si>
    <t>2   Humidity          0.093285</t>
  </si>
  <si>
    <t>3       Wind          0.010246</t>
  </si>
  <si>
    <t>14. A cleaner Python program — my recommended version</t>
  </si>
  <si>
    <t>Once you understand the above, this is the version I would keep in your Jupyter Notebook:</t>
  </si>
  <si>
    <t># -----------------------------</t>
  </si>
  <si>
    <t># Dataset</t>
  </si>
  <si>
    <t># Entropy function</t>
  </si>
  <si>
    <t>def entropy(series):</t>
  </si>
  <si>
    <t xml:space="preserve">    counts = series.value_counts()</t>
  </si>
  <si>
    <t xml:space="preserve">    total = len(series)</t>
  </si>
  <si>
    <t xml:space="preserve">    entropy_value = 0</t>
  </si>
  <si>
    <t xml:space="preserve">        p = count / total</t>
  </si>
  <si>
    <t xml:space="preserve">        entropy_value -= p * math.log2(p)</t>
  </si>
  <si>
    <t xml:space="preserve">    return entropy_value</t>
  </si>
  <si>
    <t># Information Gain function</t>
  </si>
  <si>
    <t>def information_gain(df, attribute, target):</t>
  </si>
  <si>
    <t xml:space="preserve">    parent_entropy = entropy(df[target])</t>
  </si>
  <si>
    <t xml:space="preserve">    for value, subset in df.groupby(attribute):</t>
  </si>
  <si>
    <t xml:space="preserve">        weight = len(subset) / len(df)</t>
  </si>
  <si>
    <t xml:space="preserve">        subset_entropy = entropy(subset[target])</t>
  </si>
  <si>
    <t xml:space="preserve">        weighted_entropy += weight * subset_entropy</t>
  </si>
  <si>
    <t xml:space="preserve">    gain = parent_entropy - weighted_entropy</t>
  </si>
  <si>
    <t># Overall Entropy</t>
  </si>
  <si>
    <t>print("Overall Entropy:")</t>
  </si>
  <si>
    <t>print(round(entropy(df["PlayTennis"]), 4))</t>
  </si>
  <si>
    <t># Information Gain</t>
  </si>
  <si>
    <t>print("\nInformation Gain:")</t>
  </si>
  <si>
    <t xml:space="preserve">    gain = information_gain(df, attribute, "PlayTennis")</t>
  </si>
  <si>
    <t xml:space="preserve">    print(f"{attribute:10s} = {gain:.4f}")</t>
  </si>
  <si>
    <t>Overall Entropy:</t>
  </si>
  <si>
    <t>Information Gain:</t>
  </si>
  <si>
    <t>Outlook    = 0.2433</t>
  </si>
  <si>
    <t>Temp       = 0.1175</t>
  </si>
  <si>
    <t>Humidity   = 0.0933</t>
  </si>
  <si>
    <t>Wind       = 0.0102</t>
  </si>
  <si>
    <t>15. The important ID3 conclusion</t>
  </si>
  <si>
    <t>This is the part I would especially like you to remember:</t>
  </si>
  <si>
    <t xml:space="preserve">                    Overall Dataset</t>
  </si>
  <si>
    <t xml:space="preserve">                    Entropy = 0.9183</t>
  </si>
  <si>
    <t xml:space="preserve">                           |</t>
  </si>
  <si>
    <t xml:space="preserve">             --------------------------------</t>
  </si>
  <si>
    <t xml:space="preserve">             |              |               |</t>
  </si>
  <si>
    <t xml:space="preserve">          Outlook          Temp          Humidity       Wind</t>
  </si>
  <si>
    <t xml:space="preserve">             |</t>
  </si>
  <si>
    <t xml:space="preserve">          Gain =</t>
  </si>
  <si>
    <t xml:space="preserve">          0.2433       ← HIGHEST</t>
  </si>
  <si>
    <t>ID3 chooses Outlook as the root node.</t>
  </si>
  <si>
    <t>The mathematical logic is:</t>
  </si>
  <si>
    <t>Choose attribute with maximum Information Gain​</t>
  </si>
  <si>
    <t>and here:</t>
  </si>
  <si>
    <t>Gain(Outlook)=0.2433&gt;Gain(Temp)=0.1175&gt;Gain(Humidity)=0.0933&gt;Gain(Wind)=0.0102​</t>
  </si>
  <si>
    <t>One very important observation</t>
  </si>
  <si>
    <t>Calculation</t>
  </si>
  <si>
    <t>Overall Entropy</t>
  </si>
  <si>
    <t>Gain(Outlook)</t>
  </si>
  <si>
    <t>Gain(Temp)</t>
  </si>
  <si>
    <t>Gain(Humidity)</t>
  </si>
  <si>
    <t>Gain(Wind)</t>
  </si>
  <si>
    <t>Root node</t>
  </si>
  <si>
    <t>You're very welcome! 😊</t>
  </si>
  <si>
    <r>
      <t xml:space="preserve">That is exactly the right approach: </t>
    </r>
    <r>
      <rPr>
        <b/>
        <sz val="11"/>
        <color theme="1"/>
        <rFont val="Calibri"/>
        <family val="2"/>
        <scheme val="minor"/>
      </rPr>
      <t>practice first, understand each step, and only then move to the next level.</t>
    </r>
  </si>
  <si>
    <t>For this project, I would especially focus on these five ideas:</t>
  </si>
  <si>
    <r>
      <t>1. X and y</t>
    </r>
    <r>
      <rPr>
        <sz val="11"/>
        <color theme="1"/>
        <rFont val="Calibri"/>
        <family val="2"/>
        <scheme val="minor"/>
      </rPr>
      <t xml:space="preserve"> — what are features and what is the target?</t>
    </r>
  </si>
  <si>
    <r>
      <t>2. Train/Test Split</t>
    </r>
    <r>
      <rPr>
        <sz val="11"/>
        <color theme="1"/>
        <rFont val="Calibri"/>
        <family val="2"/>
        <scheme val="minor"/>
      </rPr>
      <t xml:space="preserve"> — why we don't train on all the data.</t>
    </r>
  </si>
  <si>
    <r>
      <t>3. Encoding</t>
    </r>
    <r>
      <rPr>
        <sz val="11"/>
        <color theme="1"/>
        <rFont val="Calibri"/>
        <family val="2"/>
        <scheme val="minor"/>
      </rPr>
      <t xml:space="preserve"> — why categorical variables need conversion.</t>
    </r>
  </si>
  <si>
    <r>
      <t>4. Pipeline</t>
    </r>
    <r>
      <rPr>
        <sz val="11"/>
        <color theme="1"/>
        <rFont val="Calibri"/>
        <family val="2"/>
        <scheme val="minor"/>
      </rPr>
      <t xml:space="preserve"> — how preprocessing and the model work together.</t>
    </r>
  </si>
  <si>
    <r>
      <t>5. MAE, RMSE and R²</t>
    </r>
    <r>
      <rPr>
        <sz val="11"/>
        <color theme="1"/>
        <rFont val="Calibri"/>
        <family val="2"/>
        <scheme val="minor"/>
      </rPr>
      <t xml:space="preserve"> — how we judge the model.</t>
    </r>
  </si>
  <si>
    <t>Once these become comfortable, the more advanced models will be much easier to understand.</t>
  </si>
  <si>
    <r>
      <t xml:space="preserve">Happy practicing in your </t>
    </r>
    <r>
      <rPr>
        <b/>
        <sz val="11"/>
        <color theme="1"/>
        <rFont val="Calibri"/>
        <family val="2"/>
        <scheme val="minor"/>
      </rPr>
      <t>Jupyter Notebook</t>
    </r>
    <r>
      <rPr>
        <sz val="11"/>
        <color theme="1"/>
        <rFont val="Calibri"/>
        <family val="2"/>
        <scheme val="minor"/>
      </rPr>
      <t>! 🌷</t>
    </r>
  </si>
  <si>
    <t>Take it slowly—there is no need to rush through good material.</t>
  </si>
  <si>
    <t>Today 2:59 PM</t>
  </si>
  <si>
    <r>
      <t xml:space="preserve">Absolutely! Since this is </t>
    </r>
    <r>
      <rPr>
        <b/>
        <sz val="11"/>
        <color theme="1"/>
        <rFont val="Calibri"/>
        <family val="2"/>
        <scheme val="minor"/>
      </rPr>
      <t>for your practice</t>
    </r>
    <r>
      <rPr>
        <sz val="11"/>
        <color theme="1"/>
        <rFont val="Calibri"/>
        <family val="2"/>
        <scheme val="minor"/>
      </rPr>
      <t xml:space="preserve">, I suggest we build a small but genuinely </t>
    </r>
    <r>
      <rPr>
        <b/>
        <sz val="11"/>
        <color theme="1"/>
        <rFont val="Calibri"/>
        <family val="2"/>
        <scheme val="minor"/>
      </rPr>
      <t>end-to-end Machine Learning project in Jupyter Notebook</t>
    </r>
    <r>
      <rPr>
        <sz val="11"/>
        <color theme="1"/>
        <rFont val="Calibri"/>
        <family val="2"/>
        <scheme val="minor"/>
      </rPr>
      <t xml:space="preserve"> rather than jumping directly to a complicated dataset.</t>
    </r>
  </si>
  <si>
    <t>We will build:</t>
  </si>
  <si>
    <t>💰 Salary Prediction — End-to-End Machine Learning Mini Project</t>
  </si>
  <si>
    <t>The workflow will be:</t>
  </si>
  <si>
    <t>Dataset</t>
  </si>
  <si>
    <t xml:space="preserve">   ↓</t>
  </si>
  <si>
    <t>Understand the data</t>
  </si>
  <si>
    <t>Data Cleaning</t>
  </si>
  <si>
    <t>EDA</t>
  </si>
  <si>
    <t>Define X and y</t>
  </si>
  <si>
    <t>Train/Test Split</t>
  </si>
  <si>
    <t>Preprocessing</t>
  </si>
  <si>
    <t>Train ML Model</t>
  </si>
  <si>
    <t>Prediction</t>
  </si>
  <si>
    <t>Evaluation</t>
  </si>
  <si>
    <t>Compare models</t>
  </si>
  <si>
    <t>Predict salary for a new employee</t>
  </si>
  <si>
    <t>Save the model</t>
  </si>
  <si>
    <r>
      <t xml:space="preserve">We'll use </t>
    </r>
    <r>
      <rPr>
        <b/>
        <sz val="11"/>
        <color theme="1"/>
        <rFont val="Calibri"/>
        <family val="2"/>
        <scheme val="minor"/>
      </rPr>
      <t>Linear Regression first</t>
    </r>
    <r>
      <rPr>
        <sz val="11"/>
        <color theme="1"/>
        <rFont val="Calibri"/>
        <family val="2"/>
        <scheme val="minor"/>
      </rPr>
      <t xml:space="preserve">, because it lets you clearly understand the mathematics. Then we can compare it with </t>
    </r>
    <r>
      <rPr>
        <b/>
        <sz val="11"/>
        <color theme="1"/>
        <rFont val="Calibri"/>
        <family val="2"/>
        <scheme val="minor"/>
      </rPr>
      <t>Random Forest</t>
    </r>
    <r>
      <rPr>
        <sz val="11"/>
        <color theme="1"/>
        <rFont val="Calibri"/>
        <family val="2"/>
        <scheme val="minor"/>
      </rPr>
      <t>, which you've already been studying.</t>
    </r>
  </si>
  <si>
    <t>1. Import libraries</t>
  </si>
  <si>
    <t>Jupyter Notebook — Cell 1</t>
  </si>
  <si>
    <t>import numpy as np</t>
  </si>
  <si>
    <t>import matplotlib.pyplot as plt</t>
  </si>
  <si>
    <t>from sklearn.model_selection import train_test_split</t>
  </si>
  <si>
    <t>from sklearn.compose import ColumnTransformer</t>
  </si>
  <si>
    <t>from sklearn.preprocessing import OneHotEncoder</t>
  </si>
  <si>
    <t>from sklearn.pipeline import Pipeline</t>
  </si>
  <si>
    <t>from sklearn.linear_model import LinearRegression</t>
  </si>
  <si>
    <t>from sklearn.ensemble import RandomForestRegressor</t>
  </si>
  <si>
    <t>from sklearn.metrics import (</t>
  </si>
  <si>
    <t xml:space="preserve">    mean_absolute_error,</t>
  </si>
  <si>
    <t xml:space="preserve">    mean_squared_error,</t>
  </si>
  <si>
    <t xml:space="preserve">    r2_score</t>
  </si>
  <si>
    <t>)</t>
  </si>
  <si>
    <t>import joblib</t>
  </si>
  <si>
    <t>2. Create a small Salary dataset</t>
  </si>
  <si>
    <t>For practice, we'll create the dataset ourselves.</t>
  </si>
  <si>
    <t>Cell 2</t>
  </si>
  <si>
    <t xml:space="preserve">    "Age": [22, 25, 28, 30, 32, 35, 38, 40, 42, 45,</t>
  </si>
  <si>
    <t xml:space="preserve">            24, 27, 31, 34, 37, 41, 44, 29, 33, 39],</t>
  </si>
  <si>
    <t xml:space="preserve">    "Experience": [0, 2, 4, 6, 8, 10, 12, 15, 17, 20,</t>
  </si>
  <si>
    <t xml:space="preserve">                   1, 3, 7, 9, 13, 16, 19, 5, 8, 14],</t>
  </si>
  <si>
    <t xml:space="preserve">    "Education": [</t>
  </si>
  <si>
    <t xml:space="preserve">        "Bachelor", "Bachelor", "Bachelor", "Master", "Master",</t>
  </si>
  <si>
    <t xml:space="preserve">        "Master", "Master", "Master", "PhD", "PhD",</t>
  </si>
  <si>
    <t xml:space="preserve">        "Bachelor", "Bachelor", "Master", "Master", "Master",</t>
  </si>
  <si>
    <t xml:space="preserve">        "PhD", "PhD", "Bachelor", "Master", "PhD"</t>
  </si>
  <si>
    <t xml:space="preserve">    ],</t>
  </si>
  <si>
    <t xml:space="preserve">    "Department": [</t>
  </si>
  <si>
    <t xml:space="preserve">        "IT", "HR", "IT", "Finance", "IT",</t>
  </si>
  <si>
    <t xml:space="preserve">        "Finance", "IT", "Finance", "IT", "Finance",</t>
  </si>
  <si>
    <t xml:space="preserve">        "HR", "IT", "HR", "IT", "Finance",</t>
  </si>
  <si>
    <t xml:space="preserve">        "IT", "Finance", "HR", "IT", "Finance"</t>
  </si>
  <si>
    <t xml:space="preserve">    "Salary": [</t>
  </si>
  <si>
    <t xml:space="preserve">        30000, 32000, 40000, 48000, 55000,</t>
  </si>
  <si>
    <t xml:space="preserve">        62000, 70000, 82000, 95000, 110000,</t>
  </si>
  <si>
    <t xml:space="preserve">        31000, 38000, 50000, 60000, 72000,</t>
  </si>
  <si>
    <t xml:space="preserve">        90000, 105000, 43000, 58000, 85000</t>
  </si>
  <si>
    <t xml:space="preserve">    ]</t>
  </si>
  <si>
    <t>df</t>
  </si>
  <si>
    <t>You should see:</t>
  </si>
  <si>
    <t xml:space="preserve">    Age  Experience Education Department  Salary</t>
  </si>
  <si>
    <t>0    22           0  Bachelor         IT   30000</t>
  </si>
  <si>
    <t>1    25           2  Bachelor         HR   32000</t>
  </si>
  <si>
    <t>2    28           4  Bachelor         IT   40000</t>
  </si>
  <si>
    <t>...</t>
  </si>
  <si>
    <t>3. Understand the dataset</t>
  </si>
  <si>
    <t>Cell 3</t>
  </si>
  <si>
    <t>df.shape</t>
  </si>
  <si>
    <t>(20, 5)</t>
  </si>
  <si>
    <t>So we have:</t>
  </si>
  <si>
    <t>20 employees</t>
  </si>
  <si>
    <t>5 columns</t>
  </si>
  <si>
    <t>Cell 4</t>
  </si>
  <si>
    <t>df.info()</t>
  </si>
  <si>
    <t>Cell 5</t>
  </si>
  <si>
    <t>df.describe()</t>
  </si>
  <si>
    <t>This gives us statistical information such as:</t>
  </si>
  <si>
    <t>mean</t>
  </si>
  <si>
    <t>standard deviation</t>
  </si>
  <si>
    <t>minimum</t>
  </si>
  <si>
    <t>maximum</t>
  </si>
  <si>
    <t>quartiles</t>
  </si>
  <si>
    <t>4. Check missing values</t>
  </si>
  <si>
    <t>Cell 6</t>
  </si>
  <si>
    <t>df.isnull().sum()</t>
  </si>
  <si>
    <t>Expected:</t>
  </si>
  <si>
    <t>Age           0</t>
  </si>
  <si>
    <t>Experience    0</t>
  </si>
  <si>
    <t>Education     0</t>
  </si>
  <si>
    <t>Department    0</t>
  </si>
  <si>
    <t>Salary        0</t>
  </si>
  <si>
    <t>So our small dataset has no missing values.</t>
  </si>
  <si>
    <t>5. Check duplicate rows</t>
  </si>
  <si>
    <t>Cell 7</t>
  </si>
  <si>
    <t>df.duplicated().sum()</t>
  </si>
  <si>
    <t>6. Basic EDA</t>
  </si>
  <si>
    <r>
      <t xml:space="preserve">Let's first look at the relationship between </t>
    </r>
    <r>
      <rPr>
        <b/>
        <sz val="11"/>
        <color theme="1"/>
        <rFont val="Calibri"/>
        <family val="2"/>
        <scheme val="minor"/>
      </rPr>
      <t>Experience and Salary</t>
    </r>
    <r>
      <rPr>
        <sz val="11"/>
        <color theme="1"/>
        <rFont val="Calibri"/>
        <family val="2"/>
        <scheme val="minor"/>
      </rPr>
      <t>.</t>
    </r>
  </si>
  <si>
    <t>Cell 8</t>
  </si>
  <si>
    <t>plt.figure(figsize=(8,5))</t>
  </si>
  <si>
    <t>plt.scatter(df["Experience"], df["Salary"])</t>
  </si>
  <si>
    <t>plt.xlabel("Years of Experience")</t>
  </si>
  <si>
    <t>plt.ylabel("Salary")</t>
  </si>
  <si>
    <t>plt.title("Experience vs Salary")</t>
  </si>
  <si>
    <t>plt.show()</t>
  </si>
  <si>
    <t>You should see a fairly strong positive relationship.</t>
  </si>
  <si>
    <t>In simple terms:</t>
  </si>
  <si>
    <t>Experience ↑</t>
  </si>
  <si>
    <t xml:space="preserve">     ↓</t>
  </si>
  <si>
    <t>Salary generally ↑</t>
  </si>
  <si>
    <t>7. Salary distribution</t>
  </si>
  <si>
    <t>Cell 9</t>
  </si>
  <si>
    <t>plt.hist(df["Salary"], bins=8)</t>
  </si>
  <si>
    <t>plt.xlabel("Salary")</t>
  </si>
  <si>
    <t>plt.ylabel("Number of Employees")</t>
  </si>
  <si>
    <t>plt.title("Salary Distribution")</t>
  </si>
  <si>
    <t>8. Define X and y</t>
  </si>
  <si>
    <r>
      <t xml:space="preserve">This is one of the </t>
    </r>
    <r>
      <rPr>
        <b/>
        <sz val="11"/>
        <color theme="1"/>
        <rFont val="Calibri"/>
        <family val="2"/>
        <scheme val="minor"/>
      </rPr>
      <t>most important steps in Machine Learning</t>
    </r>
    <r>
      <rPr>
        <sz val="11"/>
        <color theme="1"/>
        <rFont val="Calibri"/>
        <family val="2"/>
        <scheme val="minor"/>
      </rPr>
      <t>.</t>
    </r>
  </si>
  <si>
    <t>We want to predict:</t>
  </si>
  <si>
    <t>Salary</t>
  </si>
  <si>
    <t>Target variable</t>
  </si>
  <si>
    <t>y = Salary</t>
  </si>
  <si>
    <t>Features</t>
  </si>
  <si>
    <t>Everything else:</t>
  </si>
  <si>
    <t>X = Age + Experience + Education + Department</t>
  </si>
  <si>
    <t>Cell 10</t>
  </si>
  <si>
    <t>X = df.drop("Salary", axis=1)</t>
  </si>
  <si>
    <t>y = df["Salary"]</t>
  </si>
  <si>
    <t>print("X:")</t>
  </si>
  <si>
    <t>print(X)</t>
  </si>
  <si>
    <t>print("\ny:")</t>
  </si>
  <si>
    <t>print(y)</t>
  </si>
  <si>
    <t>X = input/features</t>
  </si>
  <si>
    <t xml:space="preserve">       ↓</t>
  </si>
  <si>
    <t xml:space="preserve">   ML Model</t>
  </si>
  <si>
    <t>y = predicted Salary</t>
  </si>
  <si>
    <t>9. Identify numerical and categorical columns</t>
  </si>
  <si>
    <t>We have:</t>
  </si>
  <si>
    <t>Numerical</t>
  </si>
  <si>
    <t>Age</t>
  </si>
  <si>
    <t>Experience</t>
  </si>
  <si>
    <t>Categorical</t>
  </si>
  <si>
    <t>Education</t>
  </si>
  <si>
    <t>Department</t>
  </si>
  <si>
    <t>Let's tell Python this explicitly.</t>
  </si>
  <si>
    <t>Cell 11</t>
  </si>
  <si>
    <t>numeric_features = [</t>
  </si>
  <si>
    <t xml:space="preserve">    "Age",</t>
  </si>
  <si>
    <t xml:space="preserve">    "Experience"</t>
  </si>
  <si>
    <t>]</t>
  </si>
  <si>
    <t>categorical_features = [</t>
  </si>
  <si>
    <t xml:space="preserve">    "Education",</t>
  </si>
  <si>
    <t xml:space="preserve">    "Department"</t>
  </si>
  <si>
    <t>10. Train/Test Split</t>
  </si>
  <si>
    <t>We don't want to train the model using all the data.</t>
  </si>
  <si>
    <t>We'll use:</t>
  </si>
  <si>
    <t>80% → Training</t>
  </si>
  <si>
    <t>20% → Testing</t>
  </si>
  <si>
    <t>Cell 12</t>
  </si>
  <si>
    <t>X_train, X_test, y_train, y_test = train_test_split(</t>
  </si>
  <si>
    <t xml:space="preserve">    X,</t>
  </si>
  <si>
    <t xml:space="preserve">    y,</t>
  </si>
  <si>
    <t xml:space="preserve">    test_size=0.20,</t>
  </si>
  <si>
    <t xml:space="preserve">    random_state=42</t>
  </si>
  <si>
    <t>Check:</t>
  </si>
  <si>
    <t>print("Training data:", X_train.shape)</t>
  </si>
  <si>
    <t>print("Testing data :", X_test.shape)</t>
  </si>
  <si>
    <t>Approximately:</t>
  </si>
  <si>
    <t>Training data: (16, 4)</t>
  </si>
  <si>
    <t>Testing data : (4, 4)</t>
  </si>
  <si>
    <t>11. Why do we need One-Hot Encoding?</t>
  </si>
  <si>
    <t>Our model cannot directly understand:</t>
  </si>
  <si>
    <t>Bachelor</t>
  </si>
  <si>
    <t>Master</t>
  </si>
  <si>
    <t>PhD</t>
  </si>
  <si>
    <t>as text.</t>
  </si>
  <si>
    <t>We convert them into numerical columns.</t>
  </si>
  <si>
    <t>For example:</t>
  </si>
  <si>
    <t>Education_Bachelor</t>
  </si>
  <si>
    <t>Education_Master</t>
  </si>
  <si>
    <t>Education_PhD</t>
  </si>
  <si>
    <t>Similarly:</t>
  </si>
  <si>
    <t>Department_Finance</t>
  </si>
  <si>
    <t>Department_HR</t>
  </si>
  <si>
    <t>Department_IT</t>
  </si>
  <si>
    <t>This is called:</t>
  </si>
  <si>
    <t>One-Hot Encoding</t>
  </si>
  <si>
    <t>12. Create preprocessing pipeline</t>
  </si>
  <si>
    <t>Cell 13</t>
  </si>
  <si>
    <t>preprocessor = ColumnTransformer(</t>
  </si>
  <si>
    <t xml:space="preserve">    transformers=[</t>
  </si>
  <si>
    <t xml:space="preserve">        (</t>
  </si>
  <si>
    <t xml:space="preserve">            "categorical",</t>
  </si>
  <si>
    <t xml:space="preserve">            OneHotEncoder(handle_unknown="ignore"),</t>
  </si>
  <si>
    <t xml:space="preserve">            categorical_features</t>
  </si>
  <si>
    <t xml:space="preserve">    remainder="passthrough"</t>
  </si>
  <si>
    <t>Here:</t>
  </si>
  <si>
    <t>remainder="passthrough"</t>
  </si>
  <si>
    <t>means:</t>
  </si>
  <si>
    <t>Keep Age and Experience as they are.</t>
  </si>
  <si>
    <t>13. Create Linear Regression model</t>
  </si>
  <si>
    <t>Now comes the actual Machine Learning model.</t>
  </si>
  <si>
    <t>Cell 14</t>
  </si>
  <si>
    <t>linear_model = Pipeline(</t>
  </si>
  <si>
    <t xml:space="preserve">    steps=[</t>
  </si>
  <si>
    <t xml:space="preserve">        ("preprocessor", preprocessor),</t>
  </si>
  <si>
    <t xml:space="preserve">        ("model", LinearRegression())</t>
  </si>
  <si>
    <t>Notice the beautiful structure:</t>
  </si>
  <si>
    <t>Raw Data</t>
  </si>
  <si>
    <t>Preprocessor</t>
  </si>
  <si>
    <t>Linear Regression</t>
  </si>
  <si>
    <t>The Pipeline makes sure that preprocessing is applied consistently.</t>
  </si>
  <si>
    <t>14. Train the model</t>
  </si>
  <si>
    <t>Cell 15</t>
  </si>
  <si>
    <t>linear_model.fit(X_train, y_train)</t>
  </si>
  <si>
    <t>That's it.</t>
  </si>
  <si>
    <r>
      <t xml:space="preserve">The model has now </t>
    </r>
    <r>
      <rPr>
        <b/>
        <sz val="11"/>
        <color theme="1"/>
        <rFont val="Calibri"/>
        <family val="2"/>
        <scheme val="minor"/>
      </rPr>
      <t>learned from the training data</t>
    </r>
    <r>
      <rPr>
        <sz val="11"/>
        <color theme="1"/>
        <rFont val="Calibri"/>
        <family val="2"/>
        <scheme val="minor"/>
      </rPr>
      <t>.</t>
    </r>
  </si>
  <si>
    <t>15. Make predictions</t>
  </si>
  <si>
    <t>Cell 16</t>
  </si>
  <si>
    <t>y_pred = linear_model.predict(X_test)</t>
  </si>
  <si>
    <t>print(y_pred)</t>
  </si>
  <si>
    <t>You may get something similar to:</t>
  </si>
  <si>
    <t>[ 69000.4</t>
  </si>
  <si>
    <t xml:space="preserve">  57000.8]</t>
  </si>
  <si>
    <t>The exact values depend on the training/test split and dataset.</t>
  </si>
  <si>
    <t>16. Compare Actual vs Predicted</t>
  </si>
  <si>
    <t>Cell 17</t>
  </si>
  <si>
    <t>comparison = pd.DataFrame({</t>
  </si>
  <si>
    <t xml:space="preserve">    "Actual Salary": y_test.values,</t>
  </si>
  <si>
    <t xml:space="preserve">    "Predicted Salary": y_pred</t>
  </si>
  <si>
    <t>})</t>
  </si>
  <si>
    <t>comparison</t>
  </si>
  <si>
    <t>This is a very useful table.</t>
  </si>
  <si>
    <t>Actual</t>
  </si>
  <si>
    <t>Predicted</t>
  </si>
  <si>
    <t>17. Evaluate the model</t>
  </si>
  <si>
    <t>Now we come to the important ML evaluation metrics.</t>
  </si>
  <si>
    <t>We'll calculate:</t>
  </si>
  <si>
    <t>1. MAE</t>
  </si>
  <si>
    <t>2. MSE</t>
  </si>
  <si>
    <t>3. RMSE</t>
  </si>
  <si>
    <t>4. R²</t>
  </si>
  <si>
    <t>Cell 18</t>
  </si>
  <si>
    <t>mae = mean_absolute_error(y_test, y_pred)</t>
  </si>
  <si>
    <t>mse = mean_squared_error(y_test, y_pred)</t>
  </si>
  <si>
    <t>rmse = np.sqrt(mse)</t>
  </si>
  <si>
    <t>r2 = r2_score(y_test, y_pred)</t>
  </si>
  <si>
    <t>print("MAE  :", mae)</t>
  </si>
  <si>
    <t>print("MSE  :", mse)</t>
  </si>
  <si>
    <t>print("RMSE :", rmse)</t>
  </si>
  <si>
    <t>print("R²   :", r2)</t>
  </si>
  <si>
    <t>18. Understand the four metrics</t>
  </si>
  <si>
    <t>MAE</t>
  </si>
  <si>
    <t>Mean Absolute Error</t>
  </si>
  <si>
    <t>If:</t>
  </si>
  <si>
    <t>MAE = 3000</t>
  </si>
  <si>
    <t>roughly means:</t>
  </si>
  <si>
    <t>On average, predictions differ from actual salaries by about ₹3,000.</t>
  </si>
  <si>
    <t>MSE</t>
  </si>
  <si>
    <t>Mean Squared Error</t>
  </si>
  <si>
    <t>It squares the errors, so large errors receive greater penalty.</t>
  </si>
  <si>
    <t>RMSE</t>
  </si>
  <si>
    <t>Root Mean Squared Error</t>
  </si>
  <si>
    <r>
      <t xml:space="preserve">This is particularly convenient because it has the </t>
    </r>
    <r>
      <rPr>
        <b/>
        <sz val="11"/>
        <color theme="1"/>
        <rFont val="Calibri"/>
        <family val="2"/>
        <scheme val="minor"/>
      </rPr>
      <t>same unit as Salary</t>
    </r>
    <r>
      <rPr>
        <sz val="11"/>
        <color theme="1"/>
        <rFont val="Calibri"/>
        <family val="2"/>
        <scheme val="minor"/>
      </rPr>
      <t>.</t>
    </r>
  </si>
  <si>
    <t>RMSE = ₹4,200</t>
  </si>
  <si>
    <t>means the typical prediction error is roughly in that range.</t>
  </si>
  <si>
    <t>R²</t>
  </si>
  <si>
    <t>This is especially important.</t>
  </si>
  <si>
    <t>R² = 0.92</t>
  </si>
  <si>
    <r>
      <t xml:space="preserve">means the model explains approximately </t>
    </r>
    <r>
      <rPr>
        <b/>
        <sz val="11"/>
        <color theme="1"/>
        <rFont val="Calibri"/>
        <family val="2"/>
        <scheme val="minor"/>
      </rPr>
      <t>92% of the variation in salary</t>
    </r>
    <r>
      <rPr>
        <sz val="11"/>
        <color theme="1"/>
        <rFont val="Calibri"/>
        <family val="2"/>
        <scheme val="minor"/>
      </rPr>
      <t xml:space="preserve"> in this dataset.</t>
    </r>
  </si>
  <si>
    <t>19. Actual vs Predicted graph</t>
  </si>
  <si>
    <t>Cell 19</t>
  </si>
  <si>
    <t>plt.scatter(y_test, y_pred)</t>
  </si>
  <si>
    <t>plt.xlabel("Actual Salary")</t>
  </si>
  <si>
    <t>plt.ylabel("Predicted Salary")</t>
  </si>
  <si>
    <t>plt.title("Actual vs Predicted Salary")</t>
  </si>
  <si>
    <t>Ideally, points should lie close to a diagonal line.</t>
  </si>
  <si>
    <t>20. Now try Random Forest</t>
  </si>
  <si>
    <r>
      <t xml:space="preserve">This is where your previous study of </t>
    </r>
    <r>
      <rPr>
        <b/>
        <sz val="11"/>
        <color theme="1"/>
        <rFont val="Calibri"/>
        <family val="2"/>
        <scheme val="minor"/>
      </rPr>
      <t>Random Forest vs Linear Regression</t>
    </r>
    <r>
      <rPr>
        <sz val="11"/>
        <color theme="1"/>
        <rFont val="Calibri"/>
        <family val="2"/>
        <scheme val="minor"/>
      </rPr>
      <t xml:space="preserve"> becomes useful.</t>
    </r>
  </si>
  <si>
    <t>Cell 20</t>
  </si>
  <si>
    <t>rf_model = Pipeline(</t>
  </si>
  <si>
    <t xml:space="preserve">            "model",</t>
  </si>
  <si>
    <t xml:space="preserve">            RandomForestRegressor(</t>
  </si>
  <si>
    <t xml:space="preserve">                n_estimators=100,</t>
  </si>
  <si>
    <t xml:space="preserve">                random_state=42</t>
  </si>
  <si>
    <t xml:space="preserve">            )</t>
  </si>
  <si>
    <t>21. Train Random Forest</t>
  </si>
  <si>
    <t>Cell 21</t>
  </si>
  <si>
    <t>rf_model.fit(X_train, y_train)</t>
  </si>
  <si>
    <t>22. Predict using Random Forest</t>
  </si>
  <si>
    <t>Cell 22</t>
  </si>
  <si>
    <t>rf_pred = rf_model.predict(X_test)</t>
  </si>
  <si>
    <t>print(rf_pred)</t>
  </si>
  <si>
    <t>23. Evaluate Random Forest</t>
  </si>
  <si>
    <t>Cell 23</t>
  </si>
  <si>
    <t>rf_mae = mean_absolute_error(y_test, rf_pred)</t>
  </si>
  <si>
    <t>rf_mse = mean_squared_error(y_test, rf_pred)</t>
  </si>
  <si>
    <t>rf_rmse = np.sqrt(rf_mse)</t>
  </si>
  <si>
    <t>rf_r2 = r2_score(y_test, rf_pred)</t>
  </si>
  <si>
    <t>print("Random Forest")</t>
  </si>
  <si>
    <t>print("----------------")</t>
  </si>
  <si>
    <t>print("MAE  :", rf_mae)</t>
  </si>
  <si>
    <t>print("MSE  :", rf_mse)</t>
  </si>
  <si>
    <t>print("RMSE :", rf_rmse)</t>
  </si>
  <si>
    <t>print("R²   :", rf_r2)</t>
  </si>
  <si>
    <t>24. Compare the two models</t>
  </si>
  <si>
    <t>Cell 24</t>
  </si>
  <si>
    <t>results = pd.DataFrame({</t>
  </si>
  <si>
    <t xml:space="preserve">    "Model": [</t>
  </si>
  <si>
    <t xml:space="preserve">        "Linear Regression",</t>
  </si>
  <si>
    <t xml:space="preserve">        "Random Forest"</t>
  </si>
  <si>
    <t xml:space="preserve">    "MAE": [</t>
  </si>
  <si>
    <t xml:space="preserve">        mae,</t>
  </si>
  <si>
    <t xml:space="preserve">        rf_mae</t>
  </si>
  <si>
    <t xml:space="preserve">    "RMSE": [</t>
  </si>
  <si>
    <t xml:space="preserve">        rmse,</t>
  </si>
  <si>
    <t xml:space="preserve">        rf_rmse</t>
  </si>
  <si>
    <t xml:space="preserve">    "R2": [</t>
  </si>
  <si>
    <t xml:space="preserve">        r2,</t>
  </si>
  <si>
    <t xml:space="preserve">        rf_r2</t>
  </si>
  <si>
    <t>results</t>
  </si>
  <si>
    <t>You'll get a table like:</t>
  </si>
  <si>
    <t>Model</t>
  </si>
  <si>
    <t>Random Forest</t>
  </si>
  <si>
    <r>
      <t xml:space="preserve">For this </t>
    </r>
    <r>
      <rPr>
        <b/>
        <sz val="11"/>
        <color theme="1"/>
        <rFont val="Calibri"/>
        <family val="2"/>
        <scheme val="minor"/>
      </rPr>
      <t>tiny artificial dataset</t>
    </r>
    <r>
      <rPr>
        <sz val="11"/>
        <color theme="1"/>
        <rFont val="Calibri"/>
        <family val="2"/>
        <scheme val="minor"/>
      </rPr>
      <t>, don't worry if Random Forest doesn't consistently beat Linear Regression. With only 20 observations, the comparison isn't statistically meaningful. The purpose here is to learn the complete workflow.</t>
    </r>
  </si>
  <si>
    <t>25. Predict the salary of a NEW employee</t>
  </si>
  <si>
    <t>This is the most satisfying part of the project. 😊</t>
  </si>
  <si>
    <t>Suppose a new employee has:</t>
  </si>
  <si>
    <t>Age          = 30</t>
  </si>
  <si>
    <t>Experience   = 7 years</t>
  </si>
  <si>
    <t>Education    = Master</t>
  </si>
  <si>
    <t>Department   = IT</t>
  </si>
  <si>
    <t>Create a DataFrame:</t>
  </si>
  <si>
    <t>Cell 25</t>
  </si>
  <si>
    <t>new_employee = pd.DataFrame({</t>
  </si>
  <si>
    <t xml:space="preserve">    "Age": [30],</t>
  </si>
  <si>
    <t xml:space="preserve">    "Experience": [7],</t>
  </si>
  <si>
    <t xml:space="preserve">    "Education": ["Master"],</t>
  </si>
  <si>
    <t xml:space="preserve">    "Department": ["IT"]</t>
  </si>
  <si>
    <t>new_employee</t>
  </si>
  <si>
    <t>26. Predict salary</t>
  </si>
  <si>
    <t>Using Linear Regression:</t>
  </si>
  <si>
    <t>Cell 26</t>
  </si>
  <si>
    <t>predicted_salary = linear_model.predict(new_employee)</t>
  </si>
  <si>
    <t>print("Predicted Salary =", predicted_salary[0])</t>
  </si>
  <si>
    <t>Predicted Salary = 55000.0</t>
  </si>
  <si>
    <t>The exact number will depend on the model fitted to the dataset.</t>
  </si>
  <si>
    <t>27. Random Forest prediction</t>
  </si>
  <si>
    <t>rf_salary = rf_model.predict(new_employee)</t>
  </si>
  <si>
    <t>print("Random Forest Predicted Salary =", rf_salary[0])</t>
  </si>
  <si>
    <t>Now you can compare:</t>
  </si>
  <si>
    <t>Linear Regression → ₹xxxxx</t>
  </si>
  <si>
    <t>Random Forest     → ₹xxxxx</t>
  </si>
  <si>
    <t>28. Save the trained model</t>
  </si>
  <si>
    <r>
      <t xml:space="preserve">This is an important part of a genuine </t>
    </r>
    <r>
      <rPr>
        <b/>
        <sz val="11"/>
        <color theme="1"/>
        <rFont val="Calibri"/>
        <family val="2"/>
        <scheme val="minor"/>
      </rPr>
      <t>end-to-end ML project</t>
    </r>
    <r>
      <rPr>
        <sz val="11"/>
        <color theme="1"/>
        <rFont val="Calibri"/>
        <family val="2"/>
        <scheme val="minor"/>
      </rPr>
      <t>.</t>
    </r>
  </si>
  <si>
    <t>Cell 27</t>
  </si>
  <si>
    <t>joblib.dump(linear_model, "salary_prediction_model.pkl")</t>
  </si>
  <si>
    <t>Your model is now saved as:</t>
  </si>
  <si>
    <t>salary_prediction_model.pkl</t>
  </si>
  <si>
    <t>29. Load the model later</t>
  </si>
  <si>
    <t>Suppose you close Jupyter Notebook and come back tomorrow.</t>
  </si>
  <si>
    <t>You don't necessarily have to retrain the model.</t>
  </si>
  <si>
    <t>Cell 28</t>
  </si>
  <si>
    <t>loaded_model = joblib.load("salary_prediction_model.pkl")</t>
  </si>
  <si>
    <t>salary = loaded_model.predict(new_employee)</t>
  </si>
  <si>
    <t>print("Predicted Salary =", salary[0])</t>
  </si>
  <si>
    <t>30. Complete project architecture</t>
  </si>
  <si>
    <t>You've now built something very close to a real-world ML workflow:</t>
  </si>
  <si>
    <t xml:space="preserve">                 SALARY PREDICTION</t>
  </si>
  <si>
    <t xml:space="preserve">                       │</t>
  </si>
  <si>
    <t xml:space="preserve">                       ▼</t>
  </si>
  <si>
    <t xml:space="preserve">                  Raw Dataset</t>
  </si>
  <si>
    <t xml:space="preserve">                 Data Cleaning</t>
  </si>
  <si>
    <t xml:space="preserve">                       EDA</t>
  </si>
  <si>
    <t xml:space="preserve">                X and y separation</t>
  </si>
  <si>
    <t xml:space="preserve">                Train/Test Split</t>
  </si>
  <si>
    <t xml:space="preserve">                Preprocessing</t>
  </si>
  <si>
    <t xml:space="preserve">             ┌─────────┴─────────┐</t>
  </si>
  <si>
    <t xml:space="preserve">             │                   │</t>
  </si>
  <si>
    <t xml:space="preserve">       Numerical             Categorical</t>
  </si>
  <si>
    <t xml:space="preserve">       Age                   Education</t>
  </si>
  <si>
    <t xml:space="preserve">       Experience             Department</t>
  </si>
  <si>
    <t xml:space="preserve">             │             One-Hot Encoding</t>
  </si>
  <si>
    <t xml:space="preserve">             └─────────┬─────────┘</t>
  </si>
  <si>
    <t xml:space="preserve">                 ML Algorithm</t>
  </si>
  <si>
    <t xml:space="preserve">                  /        \</t>
  </si>
  <si>
    <t xml:space="preserve">                 /          \</t>
  </si>
  <si>
    <t xml:space="preserve">       Linear Regression   Random Forest</t>
  </si>
  <si>
    <t xml:space="preserve">                 \          /</t>
  </si>
  <si>
    <t xml:space="preserve">                  \        /</t>
  </si>
  <si>
    <t xml:space="preserve">                   ▼      ▼</t>
  </si>
  <si>
    <t xml:space="preserve">                    Evaluation</t>
  </si>
  <si>
    <t xml:space="preserve">                MAE / RMSE / R²</t>
  </si>
  <si>
    <t xml:space="preserve">                  New Employee</t>
  </si>
  <si>
    <t xml:space="preserve">                Salary Prediction</t>
  </si>
  <si>
    <t xml:space="preserve">                  Save Model</t>
  </si>
  <si>
    <t>One particularly useful lesson</t>
  </si>
  <si>
    <r>
      <t xml:space="preserve">Notice that we </t>
    </r>
    <r>
      <rPr>
        <b/>
        <sz val="11"/>
        <color theme="1"/>
        <rFont val="Calibri"/>
        <family val="2"/>
        <scheme val="minor"/>
      </rPr>
      <t>didn't manually encode the categorical variables before splitting the data</t>
    </r>
    <r>
      <rPr>
        <sz val="11"/>
        <color theme="1"/>
        <rFont val="Calibri"/>
        <family val="2"/>
        <scheme val="minor"/>
      </rPr>
      <t>.</t>
    </r>
  </si>
  <si>
    <t>Instead:</t>
  </si>
  <si>
    <t>Pipeline</t>
  </si>
  <si>
    <t xml:space="preserve">   +</t>
  </si>
  <si>
    <t>ColumnTransformer</t>
  </si>
  <si>
    <t>OneHotEncoder</t>
  </si>
  <si>
    <t>handles the preprocessing correctly as part of the ML workflow.</t>
  </si>
  <si>
    <t>This is a pattern worth becoming comfortable with because you'll encounter it repeatedly in larger projects.</t>
  </si>
  <si>
    <r>
      <t xml:space="preserve">And since you're practicing rather than just wanting a finished answer, I would recommend doing this project </t>
    </r>
    <r>
      <rPr>
        <b/>
        <sz val="11"/>
        <color theme="1"/>
        <rFont val="Calibri"/>
        <family val="2"/>
        <scheme val="minor"/>
      </rPr>
      <t>cell by cell in Jupyter</t>
    </r>
    <r>
      <rPr>
        <sz val="11"/>
        <color theme="1"/>
        <rFont val="Calibri"/>
        <family val="2"/>
        <scheme val="minor"/>
      </rPr>
      <t xml:space="preserve">, checking the output after every cell. Once this basic version is comfortable, the natural next exercise is to take a </t>
    </r>
    <r>
      <rPr>
        <b/>
        <sz val="11"/>
        <color theme="1"/>
        <rFont val="Calibri"/>
        <family val="2"/>
        <scheme val="minor"/>
      </rPr>
      <t>CSV salary dataset</t>
    </r>
    <r>
      <rPr>
        <sz val="11"/>
        <color theme="1"/>
        <rFont val="Calibri"/>
        <family val="2"/>
        <scheme val="minor"/>
      </rPr>
      <t xml:space="preserve">, perform actual missing-value/outlier handling, feature engineering, and then compare </t>
    </r>
    <r>
      <rPr>
        <b/>
        <sz val="11"/>
        <color theme="1"/>
        <rFont val="Calibri"/>
        <family val="2"/>
        <scheme val="minor"/>
      </rPr>
      <t>Linear Regression → Decision Tree → Random Forest → XGBoost</t>
    </r>
    <r>
      <rPr>
        <sz val="11"/>
        <color theme="1"/>
        <rFont val="Calibri"/>
        <family val="2"/>
        <scheme val="minor"/>
      </rPr>
      <t>, including feature importance and SHAP.</t>
    </r>
  </si>
  <si>
    <t>excellent; I will practice these first to get some command upon these excellent materials ! thanks !</t>
  </si>
  <si>
    <t>The ID3 decision for just 2(two) steps</t>
  </si>
  <si>
    <t xml:space="preserve">Could you please give the R codes for </t>
  </si>
  <si>
    <t>for this dataset; here Play Tennis is the Target column</t>
  </si>
  <si>
    <t># ----- Dataset -----</t>
  </si>
  <si>
    <t>df &lt;- data.frame(</t>
  </si>
  <si>
    <t xml:space="preserve">  Day = paste0("D", 1:12),</t>
  </si>
  <si>
    <t xml:space="preserve">  Outlook = c("Sunny","Sunny","Overcast","Rain","Rain","Rain","Overcast",</t>
  </si>
  <si>
    <t xml:space="preserve">              "Sunny","Sunny","Rain","Sunny","Overcast"),</t>
  </si>
  <si>
    <t xml:space="preserve">  PlayTennis = c("No","No","Yes","Yes","Yes","No","Yes","No","Yes","Yes","Yes","Yes"),</t>
  </si>
  <si>
    <t xml:space="preserve">  stringsAsFactors = FALSE</t>
  </si>
  <si>
    <t>entropy &lt;- function(target_col) {</t>
  </si>
  <si>
    <t xml:space="preserve">  counts &lt;- table(target_col)</t>
  </si>
  <si>
    <t xml:space="preserve">  probs &lt;- counts / sum(counts)</t>
  </si>
  <si>
    <t xml:space="preserve">  -sum(probs * log2(probs))</t>
  </si>
  <si>
    <t># ----- Step 1: Entropy of the whole dataset (root node) -----</t>
  </si>
  <si>
    <t>H_S &lt;- entropy(df$PlayTennis)</t>
  </si>
  <si>
    <t>cat(sprintf("Step 1: Entropy(S) = %.4f\n", H_S))</t>
  </si>
  <si>
    <t># ----- Step 2: Information Gain for attribute 'Outlook' -----</t>
  </si>
  <si>
    <t>info_gain &lt;- function(df, split_attr, target_attr = "PlayTennis") {</t>
  </si>
  <si>
    <t xml:space="preserve">  total_entropy &lt;- entropy(df[[target_attr]])</t>
  </si>
  <si>
    <t xml:space="preserve">  weighted_entropy &lt;- 0</t>
  </si>
  <si>
    <t xml:space="preserve">  cat(sprintf("\nStep 2: Splitting on '%s'\n", split_attr))</t>
  </si>
  <si>
    <t xml:space="preserve">  values &lt;- unique(df[[split_attr]])</t>
  </si>
  <si>
    <t xml:space="preserve">  for (v in values) {</t>
  </si>
  <si>
    <t xml:space="preserve">    subset_df &lt;- df[df[[split_attr]] == v, ]</t>
  </si>
  <si>
    <t xml:space="preserve">    sub_entropy &lt;- entropy(subset_df[[target_attr]])</t>
  </si>
  <si>
    <t xml:space="preserve">    weight &lt;- nrow(subset_df) / nrow(df)</t>
  </si>
  <si>
    <t xml:space="preserve">    weighted_entropy &lt;- weighted_entropy + weight * sub_entropy</t>
  </si>
  <si>
    <t xml:space="preserve">    cat(sprintf("  Entropy(%s=%s) = %.4f  (n=%d)\n", split_attr, v, sub_entropy, nrow(subset_df)))</t>
  </si>
  <si>
    <t xml:space="preserve">  }</t>
  </si>
  <si>
    <t xml:space="preserve">  total_entropy - weighted_entropy</t>
  </si>
  <si>
    <t>gain_outlook &lt;- info_gain(df, "Outlook")</t>
  </si>
  <si>
    <t>cat(sprintf("\nGain(S, Outlook) = %.4f\n", gain_outlook))</t>
  </si>
  <si>
    <t># Since Outlook is the only attribute, it becomes the root split:</t>
  </si>
  <si>
    <t>cat("\nRoot node split on 'Outlook':\n")</t>
  </si>
  <si>
    <t>for (v in unique(df$Outlook)) {</t>
  </si>
  <si>
    <t xml:space="preserve">  subset_df &lt;- df[df$Outlook == v, ]</t>
  </si>
  <si>
    <t xml:space="preserve">  labels &lt;- unique(subset_df$PlayTennis)</t>
  </si>
  <si>
    <t xml:space="preserve">  leaf &lt;- if (length(labels) == 1) labels else "Mixed - needs further splitting"</t>
  </si>
  <si>
    <t xml:space="preserve">  cat(sprintf("  %s: %s\n", v, leaf))</t>
  </si>
  <si>
    <t xml:space="preserve">    'Day': ['D1','D2','D3','D4','D5','D6','D7','D8','D9','D10','D11','D12'],</t>
  </si>
  <si>
    <t xml:space="preserve">    'Outlook': ['Sunny','Sunny','Overcast','Rain','Rain','Rain','Overcast',</t>
  </si>
  <si>
    <t xml:space="preserve">                'Sunny','Sunny','Rain','Sunny','Overcast'],</t>
  </si>
  <si>
    <t xml:space="preserve">    'PlayTennis': ['No','No','Yes','Yes','Yes','No','Yes','No','Yes','Yes','Yes','Yes']</t>
  </si>
  <si>
    <t>def entropy(target_col):</t>
  </si>
  <si>
    <t xml:space="preserve">    """Shannon entropy of a categorical column."""</t>
  </si>
  <si>
    <t xml:space="preserve">    values, counts = np.unique(target_col, return_counts=True)</t>
  </si>
  <si>
    <t xml:space="preserve">    probs = counts / counts.sum()</t>
  </si>
  <si>
    <t xml:space="preserve">    return -np.sum(probs * np.log2(probs))</t>
  </si>
  <si>
    <t>H_S = entropy(df['PlayTennis'])</t>
  </si>
  <si>
    <t>print(f"Step 1: Entropy(S) = {H_S:.4f}")</t>
  </si>
  <si>
    <t>def info_gain(df, split_attr, target_attr='PlayTennis'):</t>
  </si>
  <si>
    <t xml:space="preserve">    total_entropy = entropy(df[target_attr])</t>
  </si>
  <si>
    <t xml:space="preserve">    weighted_entropy = 0.0</t>
  </si>
  <si>
    <t xml:space="preserve">    print(f"\nStep 2: Splitting on '{split_attr}'")</t>
  </si>
  <si>
    <t xml:space="preserve">    for value, count in df[split_attr].value_counts().items():</t>
  </si>
  <si>
    <t xml:space="preserve">        subset = df[df[split_attr] == value]</t>
  </si>
  <si>
    <t xml:space="preserve">        sub_entropy = entropy(subset[target_attr])</t>
  </si>
  <si>
    <t xml:space="preserve">        weighted_entropy += (count / len(df)) * sub_entropy</t>
  </si>
  <si>
    <t xml:space="preserve">        print(f"  Entropy({split_attr}={value}) = {sub_entropy:.4f}  (n={count})")</t>
  </si>
  <si>
    <t>gain_outlook = info_gain(df, 'Outlook')</t>
  </si>
  <si>
    <t>print(f"\nGain(S, Outlook) = {gain_outlook:.4f}")</t>
  </si>
  <si>
    <t>print("\nRoot node split on 'Outlook':")</t>
  </si>
  <si>
    <t>for value in df['Outlook'].unique():</t>
  </si>
  <si>
    <t xml:space="preserve">    subset = df[df['Outlook'] == value]</t>
  </si>
  <si>
    <t xml:space="preserve">    labels = subset['PlayTennis'].unique()</t>
  </si>
  <si>
    <t xml:space="preserve">    leaf = labels[0] if len(labels) == 1 else "Mixed - needs further splitting"</t>
  </si>
  <si>
    <t xml:space="preserve">    print(f"  {value}: {leaf}")</t>
  </si>
  <si>
    <t>Your image contains only D1–D12, so do not compare your numbers with a 14-row example you may find online.</t>
  </si>
  <si>
    <t>my question with =&gt;</t>
  </si>
  <si>
    <t>.=COUNTIFS(B2:B13,"Sunny",$F$2:$F$13,"Yes")</t>
  </si>
  <si>
    <t>B</t>
  </si>
  <si>
    <t>i) Outlook = Sunny</t>
  </si>
  <si>
    <t>ii) Outlook = Overcast</t>
  </si>
  <si>
    <t>iii) Outlook = Rain</t>
  </si>
  <si>
    <t xml:space="preserve"> Overcast</t>
  </si>
  <si>
    <t>Entropy(S)=</t>
  </si>
  <si>
    <t>either Y=0 or No=0 // partial E = 0</t>
  </si>
  <si>
    <t>WeightedEntropy(Outlook)</t>
  </si>
  <si>
    <t>&lt;=(5/12)*Q12 + 0 +  (4/12)*V19</t>
  </si>
  <si>
    <t xml:space="preserve">Gain(Outlook) = 0.9183−0.6750 </t>
  </si>
  <si>
    <r>
      <t xml:space="preserve">ID3 chooses the attribute having the </t>
    </r>
    <r>
      <rPr>
        <b/>
        <sz val="11"/>
        <color rgb="FFC00000"/>
        <rFont val="Calibri"/>
        <family val="2"/>
        <scheme val="minor"/>
      </rPr>
      <t>highest Information Gain</t>
    </r>
    <r>
      <rPr>
        <sz val="11"/>
        <color rgb="FFC00000"/>
        <rFont val="Calibri"/>
        <family val="2"/>
        <scheme val="minor"/>
      </rPr>
      <t>.</t>
    </r>
  </si>
  <si>
    <t xml:space="preserve">(Heighest Gain of Information) from the Column =&gt; </t>
  </si>
  <si>
    <t>Outlook (after analysing all its 3 attribtes (Overcast, Rain, Sunny)</t>
  </si>
  <si>
    <t>heighest</t>
  </si>
  <si>
    <t>Gain</t>
  </si>
  <si>
    <t>get from python or R</t>
  </si>
  <si>
    <t>being the heighest value !</t>
  </si>
  <si>
    <r>
      <t xml:space="preserve">Absolutely. This is a </t>
    </r>
    <r>
      <rPr>
        <b/>
        <sz val="10"/>
        <color theme="1"/>
        <rFont val="Calibri"/>
        <family val="2"/>
        <scheme val="minor"/>
      </rPr>
      <t>very good example for learning ID3 manually</t>
    </r>
    <r>
      <rPr>
        <sz val="10"/>
        <color theme="1"/>
        <rFont val="Calibri"/>
        <family val="2"/>
        <scheme val="minor"/>
      </rPr>
      <t xml:space="preserve">, because we can calculate the Entropy and Information Gain both in </t>
    </r>
    <r>
      <rPr>
        <b/>
        <sz val="10"/>
        <color theme="1"/>
        <rFont val="Calibri"/>
        <family val="2"/>
        <scheme val="minor"/>
      </rPr>
      <t>Excel</t>
    </r>
    <r>
      <rPr>
        <sz val="10"/>
        <color theme="1"/>
        <rFont val="Calibri"/>
        <family val="2"/>
        <scheme val="minor"/>
      </rPr>
      <t xml:space="preserve"> and in </t>
    </r>
    <r>
      <rPr>
        <b/>
        <sz val="10"/>
        <color theme="1"/>
        <rFont val="Calibri"/>
        <family val="2"/>
        <scheme val="minor"/>
      </rPr>
      <t>Python</t>
    </r>
    <r>
      <rPr>
        <sz val="10"/>
        <color theme="1"/>
        <rFont val="Calibri"/>
        <family val="2"/>
        <scheme val="minor"/>
      </rPr>
      <t>, and verify that both give the same answers.</t>
    </r>
  </si>
  <si>
    <r>
      <t xml:space="preserve">I will use </t>
    </r>
    <r>
      <rPr>
        <b/>
        <sz val="10"/>
        <color theme="1"/>
        <rFont val="Calibri"/>
        <family val="2"/>
        <scheme val="minor"/>
      </rPr>
      <t>exactly the 12 records shown in your image (D1–D12)</t>
    </r>
    <r>
      <rPr>
        <sz val="10"/>
        <color theme="1"/>
        <rFont val="Calibri"/>
        <family val="2"/>
        <scheme val="minor"/>
      </rPr>
      <t>.</t>
    </r>
  </si>
  <si>
    <r>
      <t xml:space="preserve">Suppose your </t>
    </r>
    <r>
      <rPr>
        <b/>
        <sz val="10"/>
        <color theme="1"/>
        <rFont val="Calibri"/>
        <family val="2"/>
        <scheme val="minor"/>
      </rPr>
      <t>PlayTennis</t>
    </r>
    <r>
      <rPr>
        <sz val="10"/>
        <color theme="1"/>
        <rFont val="Calibri"/>
        <family val="2"/>
        <scheme val="minor"/>
      </rPr>
      <t xml:space="preserve"> column is </t>
    </r>
    <r>
      <rPr>
        <sz val="10"/>
        <color theme="1"/>
        <rFont val="Arial Unicode MS"/>
        <family val="2"/>
      </rPr>
      <t>F2:F13</t>
    </r>
    <r>
      <rPr>
        <sz val="10"/>
        <color theme="1"/>
        <rFont val="Calibri"/>
        <family val="2"/>
        <scheme val="minor"/>
      </rPr>
      <t>.</t>
    </r>
  </si>
  <si>
    <r>
      <t xml:space="preserve">This is probably the </t>
    </r>
    <r>
      <rPr>
        <b/>
        <sz val="10"/>
        <color theme="1"/>
        <rFont val="Calibri"/>
        <family val="2"/>
        <scheme val="minor"/>
      </rPr>
      <t>best formula to learn initially</t>
    </r>
    <r>
      <rPr>
        <sz val="10"/>
        <color theme="1"/>
        <rFont val="Calibri"/>
        <family val="2"/>
        <scheme val="minor"/>
      </rPr>
      <t>.</t>
    </r>
  </si>
  <si>
    <r>
      <t xml:space="preserve">ID3 chooses the attribute having the </t>
    </r>
    <r>
      <rPr>
        <b/>
        <sz val="10"/>
        <color theme="1"/>
        <rFont val="Calibri"/>
        <family val="2"/>
        <scheme val="minor"/>
      </rPr>
      <t>highest Information Gain</t>
    </r>
    <r>
      <rPr>
        <sz val="10"/>
        <color theme="1"/>
        <rFont val="Calibri"/>
        <family val="2"/>
        <scheme val="minor"/>
      </rPr>
      <t>.</t>
    </r>
  </si>
  <si>
    <r>
      <t xml:space="preserve">For </t>
    </r>
    <r>
      <rPr>
        <b/>
        <sz val="10"/>
        <color theme="1"/>
        <rFont val="Calibri"/>
        <family val="2"/>
        <scheme val="minor"/>
      </rPr>
      <t>Outlook</t>
    </r>
    <r>
      <rPr>
        <sz val="10"/>
        <color theme="1"/>
        <rFont val="Calibri"/>
        <family val="2"/>
        <scheme val="minor"/>
      </rPr>
      <t>, there are three values:</t>
    </r>
  </si>
  <si>
    <r>
      <t xml:space="preserve">This makes intuitive sense: </t>
    </r>
    <r>
      <rPr>
        <b/>
        <sz val="10"/>
        <color theme="1"/>
        <rFont val="Calibri"/>
        <family val="2"/>
        <scheme val="minor"/>
      </rPr>
      <t>all Overcast days are Yes</t>
    </r>
    <r>
      <rPr>
        <sz val="10"/>
        <color theme="1"/>
        <rFont val="Calibri"/>
        <family val="2"/>
        <scheme val="minor"/>
      </rPr>
      <t>, so there is no uncertainty.</t>
    </r>
  </si>
  <si>
    <r>
      <t xml:space="preserve">So </t>
    </r>
    <r>
      <rPr>
        <b/>
        <sz val="10"/>
        <color theme="1"/>
        <rFont val="Calibri"/>
        <family val="2"/>
        <scheme val="minor"/>
      </rPr>
      <t>ID3 selects Outlook as the root node</t>
    </r>
    <r>
      <rPr>
        <sz val="10"/>
        <color theme="1"/>
        <rFont val="Calibri"/>
        <family val="2"/>
        <scheme val="minor"/>
      </rPr>
      <t>.</t>
    </r>
  </si>
  <si>
    <r>
      <t xml:space="preserve">Now let's do exactly the same thing in your favorite </t>
    </r>
    <r>
      <rPr>
        <b/>
        <sz val="10"/>
        <color theme="1"/>
        <rFont val="Calibri"/>
        <family val="2"/>
        <scheme val="minor"/>
      </rPr>
      <t>Jupyter Notebook</t>
    </r>
    <r>
      <rPr>
        <sz val="10"/>
        <color theme="1"/>
        <rFont val="Calibri"/>
        <family val="2"/>
        <scheme val="minor"/>
      </rPr>
      <t>.</t>
    </r>
  </si>
  <si>
    <r>
      <rPr>
        <i/>
        <sz val="10"/>
        <color rgb="FF0070C0"/>
        <rFont val="Arial Unicode MS"/>
        <family val="2"/>
      </rPr>
      <t>def information_gain</t>
    </r>
    <r>
      <rPr>
        <sz val="10"/>
        <color theme="1"/>
        <rFont val="Arial Unicode MS"/>
        <family val="2"/>
      </rPr>
      <t xml:space="preserve">(df, </t>
    </r>
    <r>
      <rPr>
        <sz val="10"/>
        <color rgb="FFFF0000"/>
        <rFont val="Arial Unicode MS"/>
        <family val="2"/>
      </rPr>
      <t xml:space="preserve">attribute,                       </t>
    </r>
    <r>
      <rPr>
        <sz val="10"/>
        <color theme="1"/>
        <rFont val="Arial Unicode MS"/>
        <family val="2"/>
      </rPr>
      <t xml:space="preserve"> target="PlayTennis"):</t>
    </r>
  </si>
  <si>
    <r>
      <t xml:space="preserve">    for value, group in df.groupby(</t>
    </r>
    <r>
      <rPr>
        <sz val="10"/>
        <color rgb="FFFF0000"/>
        <rFont val="Arial Unicode MS"/>
        <family val="2"/>
      </rPr>
      <t>attribute</t>
    </r>
    <r>
      <rPr>
        <sz val="10"/>
        <color theme="1"/>
        <rFont val="Arial Unicode MS"/>
        <family val="2"/>
      </rPr>
      <t>):</t>
    </r>
  </si>
  <si>
    <r>
      <t>gain_outlook =</t>
    </r>
    <r>
      <rPr>
        <i/>
        <sz val="10"/>
        <color rgb="FF0070C0"/>
        <rFont val="Arial Unicode MS"/>
        <family val="2"/>
      </rPr>
      <t xml:space="preserve"> information_gain</t>
    </r>
    <r>
      <rPr>
        <sz val="10"/>
        <color theme="1"/>
        <rFont val="Arial Unicode MS"/>
        <family val="2"/>
      </rPr>
      <t>(df, "Outlook")</t>
    </r>
  </si>
  <si>
    <r>
      <t xml:space="preserve">You may notice that the classic </t>
    </r>
    <r>
      <rPr>
        <b/>
        <sz val="10"/>
        <color theme="1"/>
        <rFont val="Calibri"/>
        <family val="2"/>
        <scheme val="minor"/>
      </rPr>
      <t>14-row Play Tennis dataset</t>
    </r>
    <r>
      <rPr>
        <sz val="10"/>
        <color theme="1"/>
        <rFont val="Calibri"/>
        <family val="2"/>
        <scheme val="minor"/>
      </rPr>
      <t xml:space="preserve"> is often used in ID3 examples. </t>
    </r>
  </si>
  <si>
    <r>
      <t xml:space="preserve">For </t>
    </r>
    <r>
      <rPr>
        <b/>
        <sz val="10"/>
        <color theme="1"/>
        <rFont val="Calibri"/>
        <family val="2"/>
        <scheme val="minor"/>
      </rPr>
      <t>your exact 12-row image</t>
    </r>
    <r>
      <rPr>
        <sz val="10"/>
        <color theme="1"/>
        <rFont val="Calibri"/>
        <family val="2"/>
        <scheme val="minor"/>
      </rPr>
      <t>, the correct first-step results are:</t>
    </r>
  </si>
  <si>
    <r>
      <t xml:space="preserve">If you are learning ID3 </t>
    </r>
    <r>
      <rPr>
        <b/>
        <sz val="10"/>
        <color theme="1"/>
        <rFont val="Calibri"/>
        <family val="2"/>
        <scheme val="minor"/>
      </rPr>
      <t xml:space="preserve">step-by-step rather than just using </t>
    </r>
    <r>
      <rPr>
        <b/>
        <sz val="10"/>
        <color theme="1"/>
        <rFont val="Arial Unicode MS"/>
        <family val="2"/>
      </rPr>
      <t>sklearn</t>
    </r>
    <r>
      <rPr>
        <sz val="10"/>
        <color theme="1"/>
        <rFont val="Calibri"/>
        <family val="2"/>
        <scheme val="minor"/>
      </rPr>
      <t xml:space="preserve">, this is an excellent exercise: first calculate these numbers in </t>
    </r>
    <r>
      <rPr>
        <b/>
        <sz val="10"/>
        <color theme="1"/>
        <rFont val="Calibri"/>
        <family val="2"/>
        <scheme val="minor"/>
      </rPr>
      <t>Excel</t>
    </r>
    <r>
      <rPr>
        <sz val="10"/>
        <color theme="1"/>
        <rFont val="Calibri"/>
        <family val="2"/>
        <scheme val="minor"/>
      </rPr>
      <t xml:space="preserve">, then reproduce exactly the same numbers in </t>
    </r>
    <r>
      <rPr>
        <b/>
        <sz val="10"/>
        <color theme="1"/>
        <rFont val="Calibri"/>
        <family val="2"/>
        <scheme val="minor"/>
      </rPr>
      <t>Jupyter/Python</t>
    </r>
    <r>
      <rPr>
        <sz val="10"/>
        <color theme="1"/>
        <rFont val="Calibri"/>
        <family val="2"/>
        <scheme val="minor"/>
      </rPr>
      <t>. That way you understand what the algorithm is actually doing rather than treating the decision tree as a black box.</t>
    </r>
  </si>
  <si>
    <r>
      <t xml:space="preserve">That is exactly the right approach: </t>
    </r>
    <r>
      <rPr>
        <b/>
        <sz val="10"/>
        <color theme="1"/>
        <rFont val="Calibri"/>
        <family val="2"/>
        <scheme val="minor"/>
      </rPr>
      <t>practice first, understand each step, and only then move to the next level.</t>
    </r>
  </si>
  <si>
    <r>
      <t>1. X and y</t>
    </r>
    <r>
      <rPr>
        <sz val="10"/>
        <color theme="1"/>
        <rFont val="Calibri"/>
        <family val="2"/>
        <scheme val="minor"/>
      </rPr>
      <t xml:space="preserve"> — what are features and what is the target?</t>
    </r>
  </si>
  <si>
    <r>
      <t>2. Train/Test Split</t>
    </r>
    <r>
      <rPr>
        <sz val="10"/>
        <color theme="1"/>
        <rFont val="Calibri"/>
        <family val="2"/>
        <scheme val="minor"/>
      </rPr>
      <t xml:space="preserve"> — why we don't train on all the data.</t>
    </r>
  </si>
  <si>
    <r>
      <t>3. Encoding</t>
    </r>
    <r>
      <rPr>
        <sz val="10"/>
        <color theme="1"/>
        <rFont val="Calibri"/>
        <family val="2"/>
        <scheme val="minor"/>
      </rPr>
      <t xml:space="preserve"> — why categorical variables need conversion.</t>
    </r>
  </si>
  <si>
    <r>
      <t>4. Pipeline</t>
    </r>
    <r>
      <rPr>
        <sz val="10"/>
        <color theme="1"/>
        <rFont val="Calibri"/>
        <family val="2"/>
        <scheme val="minor"/>
      </rPr>
      <t xml:space="preserve"> — how preprocessing and the model work together.</t>
    </r>
  </si>
  <si>
    <r>
      <t>5. MAE, RMSE and R²</t>
    </r>
    <r>
      <rPr>
        <sz val="10"/>
        <color theme="1"/>
        <rFont val="Calibri"/>
        <family val="2"/>
        <scheme val="minor"/>
      </rPr>
      <t xml:space="preserve"> — how we judge the model.</t>
    </r>
  </si>
  <si>
    <r>
      <t xml:space="preserve">Happy practicing in your </t>
    </r>
    <r>
      <rPr>
        <b/>
        <sz val="10"/>
        <color theme="1"/>
        <rFont val="Calibri"/>
        <family val="2"/>
        <scheme val="minor"/>
      </rPr>
      <t>Jupyter Notebook</t>
    </r>
    <r>
      <rPr>
        <sz val="10"/>
        <color theme="1"/>
        <rFont val="Calibri"/>
        <family val="2"/>
        <scheme val="minor"/>
      </rPr>
      <t>! 🌷</t>
    </r>
  </si>
  <si>
    <r>
      <t>"Among Outlook, Temp, Humidity and Wind,</t>
    </r>
    <r>
      <rPr>
        <sz val="14"/>
        <color rgb="FFC00000"/>
        <rFont val="Calibri"/>
        <family val="2"/>
        <scheme val="minor"/>
      </rPr>
      <t xml:space="preserve"> Outlook gives me the greatest reduction in uncertainty.</t>
    </r>
    <r>
      <rPr>
        <sz val="10"/>
        <color theme="1"/>
        <rFont val="Calibri"/>
        <family val="2"/>
        <scheme val="minor"/>
      </rPr>
      <t xml:space="preserve"> Therefore, split the dataset using Outlook."</t>
    </r>
  </si>
  <si>
    <r>
      <t>PlayTennis</t>
    </r>
    <r>
      <rPr>
        <sz val="14"/>
        <color theme="1"/>
        <rFont val="Calibri"/>
        <family val="2"/>
        <scheme val="minor"/>
      </rPr>
      <t xml:space="preserve"> column is </t>
    </r>
    <r>
      <rPr>
        <sz val="14"/>
        <color theme="1"/>
        <rFont val="Arial Unicode MS"/>
        <family val="2"/>
      </rPr>
      <t>F2:F13</t>
    </r>
    <r>
      <rPr>
        <sz val="14"/>
        <color theme="1"/>
        <rFont val="Calibri"/>
        <family val="2"/>
        <scheme val="minor"/>
      </rPr>
      <t>.</t>
    </r>
  </si>
  <si>
    <t>..=-(8/12)*LOG(8/12, 2)  - (4/12)*LOG(4/12,2)</t>
  </si>
  <si>
    <r>
      <t>//-(COUNTIF(F1:F12</t>
    </r>
    <r>
      <rPr>
        <b/>
        <sz val="14"/>
        <color rgb="FFFF0000"/>
        <rFont val="Calibri"/>
        <family val="2"/>
        <scheme val="minor"/>
      </rPr>
      <t>,"Yes")</t>
    </r>
    <r>
      <rPr>
        <b/>
        <sz val="9"/>
        <color theme="1"/>
        <rFont val="Calibri"/>
        <family val="2"/>
        <scheme val="minor"/>
      </rPr>
      <t>/COUNTA(F1:F12))*LOG(COUNTIF(F1:F12,"</t>
    </r>
    <r>
      <rPr>
        <b/>
        <sz val="14"/>
        <color rgb="FFFF0000"/>
        <rFont val="Calibri"/>
        <family val="2"/>
        <scheme val="minor"/>
      </rPr>
      <t>Yes"</t>
    </r>
    <r>
      <rPr>
        <b/>
        <sz val="9"/>
        <color theme="1"/>
        <rFont val="Calibri"/>
        <family val="2"/>
        <scheme val="minor"/>
      </rPr>
      <t>)/COUNTA(F1:F12),2)</t>
    </r>
  </si>
  <si>
    <t>My simple calculation</t>
  </si>
  <si>
    <t>y(data points)</t>
  </si>
  <si>
    <t>Cluster</t>
  </si>
  <si>
    <t>New Cluster</t>
  </si>
  <si>
    <t>initial Centroids</t>
  </si>
  <si>
    <t>M1</t>
  </si>
  <si>
    <t>M2</t>
  </si>
  <si>
    <r>
      <rPr>
        <b/>
        <sz val="20"/>
        <color theme="1"/>
        <rFont val="Calibri"/>
        <family val="2"/>
        <scheme val="minor"/>
      </rPr>
      <t>To</t>
    </r>
    <r>
      <rPr>
        <b/>
        <sz val="11"/>
        <color theme="1"/>
        <rFont val="Calibri"/>
        <family val="2"/>
        <scheme val="minor"/>
      </rPr>
      <t xml:space="preserve"> M2</t>
    </r>
  </si>
  <si>
    <r>
      <rPr>
        <b/>
        <sz val="20"/>
        <color theme="1"/>
        <rFont val="Calibri"/>
        <family val="2"/>
        <scheme val="minor"/>
      </rPr>
      <t>To</t>
    </r>
    <r>
      <rPr>
        <b/>
        <sz val="11"/>
        <color theme="1"/>
        <rFont val="Calibri"/>
        <family val="2"/>
        <scheme val="minor"/>
      </rPr>
      <t xml:space="preserve"> M1</t>
    </r>
  </si>
  <si>
    <t>2, 4, 3</t>
  </si>
  <si>
    <t>all rests</t>
  </si>
  <si>
    <t>New Centroids</t>
  </si>
  <si>
    <t>C1</t>
  </si>
  <si>
    <t>C2</t>
  </si>
  <si>
    <t>2, 4, 10, 3</t>
  </si>
  <si>
    <t>20, 30, 25</t>
  </si>
  <si>
    <r>
      <rPr>
        <b/>
        <sz val="14"/>
        <color theme="1"/>
        <rFont val="Calibri"/>
        <family val="2"/>
        <scheme val="minor"/>
      </rPr>
      <t>To</t>
    </r>
    <r>
      <rPr>
        <b/>
        <sz val="11"/>
        <color theme="1"/>
        <rFont val="Calibri"/>
        <family val="2"/>
        <scheme val="minor"/>
      </rPr>
      <t xml:space="preserve"> M1</t>
    </r>
  </si>
  <si>
    <r>
      <rPr>
        <b/>
        <sz val="14"/>
        <color theme="1"/>
        <rFont val="Calibri"/>
        <family val="2"/>
        <scheme val="minor"/>
      </rPr>
      <t>To</t>
    </r>
    <r>
      <rPr>
        <b/>
        <sz val="11"/>
        <color theme="1"/>
        <rFont val="Calibri"/>
        <family val="2"/>
        <scheme val="minor"/>
      </rPr>
      <t xml:space="preserve"> M2</t>
    </r>
  </si>
  <si>
    <t>x</t>
  </si>
  <si>
    <t>y</t>
  </si>
  <si>
    <t>A1</t>
  </si>
  <si>
    <t>A2</t>
  </si>
  <si>
    <t>A3</t>
  </si>
  <si>
    <t>B1</t>
  </si>
  <si>
    <t>B2</t>
  </si>
  <si>
    <t>B3</t>
  </si>
  <si>
    <t>Initial Centriods=&gt;</t>
  </si>
  <si>
    <t>B1(5,8)</t>
  </si>
  <si>
    <t>C1(1,2)</t>
  </si>
  <si>
    <t>Data points</t>
  </si>
  <si>
    <t>A1(2,10)</t>
  </si>
  <si>
    <t>Claude finished the response</t>
  </si>
  <si>
    <t>Thought for 25s</t>
  </si>
  <si>
    <r>
      <t>Data points:</t>
    </r>
    <r>
      <rPr>
        <sz val="11"/>
        <color theme="1"/>
        <rFont val="Calibri"/>
        <family val="2"/>
        <scheme val="minor"/>
      </rPr>
      <t xml:space="preserve"> A1(2,10), A2(2,5), A3(8,4), B1(5,8), B2(7,5), B3(6,4), C1(1,2), C2(4,9)</t>
    </r>
  </si>
  <si>
    <r>
      <t>Distance metric:</t>
    </r>
    <r>
      <rPr>
        <sz val="11"/>
        <color theme="1"/>
        <rFont val="Calibri"/>
        <family val="2"/>
        <scheme val="minor"/>
      </rPr>
      <t xml:space="preserve"> Euclidean</t>
    </r>
  </si>
  <si>
    <t>Iteration 1 (initial centroids)</t>
  </si>
  <si>
    <t>Point</t>
  </si>
  <si>
    <t>Dist→(2,10)</t>
  </si>
  <si>
    <t>Dist→(5,8)</t>
  </si>
  <si>
    <t>Dist→(1,2)</t>
  </si>
  <si>
    <t>A2(2,5)</t>
  </si>
  <si>
    <t>A3(8,4)</t>
  </si>
  <si>
    <t>B2(7,5)</t>
  </si>
  <si>
    <t>B3(6,4)</t>
  </si>
  <si>
    <t>C2(4,9)</t>
  </si>
  <si>
    <t>Iteration 2 (centroids: (2,10), (6,6), (1.5,3.5))</t>
  </si>
  <si>
    <t>Dist→(6,6)</t>
  </si>
  <si>
    <t>Dist→(1.5,3.5)</t>
  </si>
  <si>
    <r>
      <t>1</t>
    </r>
    <r>
      <rPr>
        <sz val="11"/>
        <color theme="1"/>
        <rFont val="Calibri"/>
        <family val="2"/>
        <scheme val="minor"/>
      </rPr>
      <t xml:space="preserve"> ⬅ changed</t>
    </r>
  </si>
  <si>
    <r>
      <t>New centroids:</t>
    </r>
    <r>
      <rPr>
        <sz val="11"/>
        <color theme="1"/>
        <rFont val="Calibri"/>
        <family val="2"/>
        <scheme val="minor"/>
      </rPr>
      <t xml:space="preserve"> Cluster1={A1,C2} → (3, 9.5); Cluster2={A3,B1,B2,B3} → (6.5, 5.25); Cluster3={A2,C1} → (1.5, 3.5)</t>
    </r>
  </si>
  <si>
    <t>Iteration 3 (centroids: (3,9.5), (6.5,5.25), (1.5,3.5))</t>
  </si>
  <si>
    <t>Dist→(3,9.5)</t>
  </si>
  <si>
    <t>Dist→(6.5,5.25)</t>
  </si>
  <si>
    <r>
      <t>New centroids:</t>
    </r>
    <r>
      <rPr>
        <sz val="11"/>
        <color theme="1"/>
        <rFont val="Calibri"/>
        <family val="2"/>
        <scheme val="minor"/>
      </rPr>
      <t xml:space="preserve"> Cluster1={A1,B1,C2} → (3.667, 9); Cluster2={A3,B2,B3} → (7, 4.333); Cluster3={A2,C1} → (1.5, 3.5)</t>
    </r>
  </si>
  <si>
    <t>Iteration 4 (centroids: (3.667,9), (7,4.333), (1.5,3.5))</t>
  </si>
  <si>
    <t>Dist→(3.67,9)</t>
  </si>
  <si>
    <t>Dist→(7,4.33)</t>
  </si>
  <si>
    <r>
      <t xml:space="preserve">✅ </t>
    </r>
    <r>
      <rPr>
        <b/>
        <sz val="11"/>
        <color theme="1"/>
        <rFont val="Calibri"/>
        <family val="2"/>
        <scheme val="minor"/>
      </rPr>
      <t>No cluster assignment changed from Iteration 3 → Iteration 4. Convergence reached.</t>
    </r>
  </si>
  <si>
    <t>Final Result</t>
  </si>
  <si>
    <t>Members</t>
  </si>
  <si>
    <t>Final Centroid</t>
  </si>
  <si>
    <t>A1(2,10), B1(5,8), C2(4,9)</t>
  </si>
  <si>
    <t>(3.667, 9)</t>
  </si>
  <si>
    <t>A3(8,4), B2(7,5), B3(6,4)</t>
  </si>
  <si>
    <t>(7, 4.333)</t>
  </si>
  <si>
    <t>A2(2,5), C1(1,2)</t>
  </si>
  <si>
    <t>(1.5, 3.5)</t>
  </si>
  <si>
    <r>
      <t xml:space="preserve">It took </t>
    </r>
    <r>
      <rPr>
        <b/>
        <sz val="11"/>
        <color theme="1"/>
        <rFont val="Calibri"/>
        <family val="2"/>
        <scheme val="minor"/>
      </rPr>
      <t>3 reassignment steps</t>
    </r>
    <r>
      <rPr>
        <sz val="11"/>
        <color theme="1"/>
        <rFont val="Calibri"/>
        <family val="2"/>
        <scheme val="minor"/>
      </rPr>
      <t xml:space="preserve"> (4 iterations total, including the initial one) to converge — B1 was the "swing" point, moving from Cluster 2 to Cluster 1 in iteration 3, after which everything stabilized. Want me to build this out as an Excel sheet with all four iterations laid out, or as a chart showing the cluster movement visually?</t>
    </r>
  </si>
  <si>
    <t>Thought for 11s</t>
  </si>
  <si>
    <r>
      <t xml:space="preserve">Good catch — although you didn't explicitly say "k=2," it was implicitly defined by how many initial centroids you set up: </t>
    </r>
    <r>
      <rPr>
        <b/>
        <sz val="11"/>
        <color theme="1"/>
        <rFont val="Calibri"/>
        <family val="2"/>
        <scheme val="minor"/>
      </rPr>
      <t>M1 and M2 → k=2 clusters.</t>
    </r>
    <r>
      <rPr>
        <sz val="11"/>
        <color theme="1"/>
        <rFont val="Calibri"/>
        <family val="2"/>
        <scheme val="minor"/>
      </rPr>
      <t xml:space="preserve"> (If you'd started with 3 centroids, you'd get 3 clusters instead — k in K-means is always fixed by how many centroids you initialize with, not something the algorithm figures out on its own.)</t>
    </r>
  </si>
  <si>
    <t>Let's carry your dataset (y-values: 2, 4, 10, 12, 3, 20, 30, 11, 25) forward from where you left off until it converges.</t>
  </si>
  <si>
    <r>
      <t>Iteration 1</t>
    </r>
    <r>
      <rPr>
        <sz val="11"/>
        <color theme="1"/>
        <rFont val="Calibri"/>
        <family val="2"/>
        <scheme val="minor"/>
      </rPr>
      <t xml:space="preserve"> (M1=4, M2=11) — this is what you already did:</t>
    </r>
  </si>
  <si>
    <r>
      <t xml:space="preserve">C1 = {2, 4, 3} → new M1 = mean(2,4,3) = </t>
    </r>
    <r>
      <rPr>
        <b/>
        <sz val="11"/>
        <color theme="1"/>
        <rFont val="Calibri"/>
        <family val="2"/>
        <scheme val="minor"/>
      </rPr>
      <t>3</t>
    </r>
  </si>
  <si>
    <r>
      <t xml:space="preserve">C2 = {10, 12, 20, 30, 11, 25} → new M2 = mean = </t>
    </r>
    <r>
      <rPr>
        <b/>
        <sz val="11"/>
        <color theme="1"/>
        <rFont val="Calibri"/>
        <family val="2"/>
        <scheme val="minor"/>
      </rPr>
      <t>18</t>
    </r>
  </si>
  <si>
    <r>
      <t>Iteration 2</t>
    </r>
    <r>
      <rPr>
        <sz val="11"/>
        <color theme="1"/>
        <rFont val="Calibri"/>
        <family val="2"/>
        <scheme val="minor"/>
      </rPr>
      <t xml:space="preserve"> (M1=3, M2=18):</t>
    </r>
  </si>
  <si>
    <t>|y-3|</t>
  </si>
  <si>
    <t>|y-18|</t>
  </si>
  <si>
    <r>
      <t xml:space="preserve">C1 = {2,4,10,3} → new M1 = 19/4 = </t>
    </r>
    <r>
      <rPr>
        <b/>
        <sz val="11"/>
        <color theme="1"/>
        <rFont val="Calibri"/>
        <family val="2"/>
        <scheme val="minor"/>
      </rPr>
      <t>4.75</t>
    </r>
  </si>
  <si>
    <r>
      <t xml:space="preserve">C2 = {12,20,30,11,25} → new M2 = 98/5 = </t>
    </r>
    <r>
      <rPr>
        <b/>
        <sz val="11"/>
        <color theme="1"/>
        <rFont val="Calibri"/>
        <family val="2"/>
        <scheme val="minor"/>
      </rPr>
      <t>19.6</t>
    </r>
  </si>
  <si>
    <r>
      <t>Iteration 3</t>
    </r>
    <r>
      <rPr>
        <sz val="11"/>
        <color theme="1"/>
        <rFont val="Calibri"/>
        <family val="2"/>
        <scheme val="minor"/>
      </rPr>
      <t xml:space="preserve"> (M1=4.75, M2=19.6):</t>
    </r>
  </si>
  <si>
    <t>|y-4.75|</t>
  </si>
  <si>
    <t>|y-19.6|</t>
  </si>
  <si>
    <t>C1 (close!)</t>
  </si>
  <si>
    <r>
      <t xml:space="preserve">C1 = {2,4,10,12,3,11} → new M1 = 42/6 = </t>
    </r>
    <r>
      <rPr>
        <b/>
        <sz val="11"/>
        <color theme="1"/>
        <rFont val="Calibri"/>
        <family val="2"/>
        <scheme val="minor"/>
      </rPr>
      <t>7</t>
    </r>
  </si>
  <si>
    <r>
      <t xml:space="preserve">C2 = {20,30,25} → new M2 = 75/3 = </t>
    </r>
    <r>
      <rPr>
        <b/>
        <sz val="11"/>
        <color theme="1"/>
        <rFont val="Calibri"/>
        <family val="2"/>
        <scheme val="minor"/>
      </rPr>
      <t>25</t>
    </r>
  </si>
  <si>
    <r>
      <t>Iteration 4</t>
    </r>
    <r>
      <rPr>
        <sz val="11"/>
        <color theme="1"/>
        <rFont val="Calibri"/>
        <family val="2"/>
        <scheme val="minor"/>
      </rPr>
      <t xml:space="preserve"> (M1=7, M2=25) — check for convergence:</t>
    </r>
  </si>
  <si>
    <t>|y-7|</t>
  </si>
  <si>
    <t>|y-25|</t>
  </si>
  <si>
    <r>
      <t xml:space="preserve">C1 = {2,4,10,12,3,11}, C2 = {20,30,25} → </t>
    </r>
    <r>
      <rPr>
        <b/>
        <sz val="11"/>
        <color theme="1"/>
        <rFont val="Calibri"/>
        <family val="2"/>
        <scheme val="minor"/>
      </rPr>
      <t>identical to Iteration 3's assignment.</t>
    </r>
    <r>
      <rPr>
        <sz val="11"/>
        <color theme="1"/>
        <rFont val="Calibri"/>
        <family val="2"/>
        <scheme val="minor"/>
      </rPr>
      <t xml:space="preserve"> Recomputing centroids gives the same M1=7, M2=25. ✅ </t>
    </r>
    <r>
      <rPr>
        <b/>
        <sz val="11"/>
        <color theme="1"/>
        <rFont val="Calibri"/>
        <family val="2"/>
        <scheme val="minor"/>
      </rPr>
      <t>Converged.</t>
    </r>
  </si>
  <si>
    <t>2, 3, 4, 10, 11, 12</t>
  </si>
  <si>
    <t>20, 25, 30</t>
  </si>
  <si>
    <r>
      <t xml:space="preserve">Interesting note: point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was borderline in Iteration 2 (went to C2 since 9&lt;6... wait, actually 9&gt;6, closer to 18) but flipped back to C1 by Iteration 3 as centroids shifted — a nice illustration of why K-means needs multiple iterations rather than stopping after the first pass. It settled cleanly into a "low values" cluster and a "high values" cluster, which — since this is 1D — is really just splitting the number line at a natural gap (between 12 and 20).</t>
    </r>
  </si>
  <si>
    <t>Want me to add this second dataset/scenario as new sheets in the same Excel workbook (or a fresh one) with the same formula-driven iteration structure?</t>
  </si>
  <si>
    <t>in excel for this dataset i already did. So, please give me rather python code for this mini 1D dataset !</t>
  </si>
  <si>
    <t>Created a file, ran a command</t>
  </si>
  <si>
    <r>
      <t xml:space="preserve">Runs clean and both the from-scratch version and scikit-learn's </t>
    </r>
    <r>
      <rPr>
        <sz val="10"/>
        <color theme="1"/>
        <rFont val="Arial Unicode MS"/>
        <family val="2"/>
      </rPr>
      <t>KMeans</t>
    </r>
    <r>
      <rPr>
        <sz val="11"/>
        <color theme="1"/>
        <rFont val="Calibri"/>
        <family val="2"/>
        <scheme val="minor"/>
      </rPr>
      <t xml:space="preserve"> agree exactly with the manual result: </t>
    </r>
    <r>
      <rPr>
        <b/>
        <sz val="11"/>
        <color theme="1"/>
        <rFont val="Calibri"/>
        <family val="2"/>
        <scheme val="minor"/>
      </rPr>
      <t>Cluster 1 = {2,3,4,10,11,12} → centroid 7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Cluster 2 = {20,25,30} → centroid 25</t>
    </r>
    <r>
      <rPr>
        <sz val="11"/>
        <color theme="1"/>
        <rFont val="Calibri"/>
        <family val="2"/>
        <scheme val="minor"/>
      </rPr>
      <t>.</t>
    </r>
  </si>
  <si>
    <t>Presented file</t>
  </si>
  <si>
    <t>A couple of things worth noting about the code:</t>
  </si>
  <si>
    <r>
      <t>kmeans_1d()</t>
    </r>
    <r>
      <rPr>
        <sz val="11"/>
        <color theme="1"/>
        <rFont val="Calibri"/>
        <family val="2"/>
        <scheme val="minor"/>
      </rPr>
      <t xml:space="preserve"> is a plain-language reimplementation of exactly what you did in Excel: distances → </t>
    </r>
    <r>
      <rPr>
        <sz val="10"/>
        <color theme="1"/>
        <rFont val="Arial Unicode MS"/>
        <family val="2"/>
      </rPr>
      <t>argmin</t>
    </r>
    <r>
      <rPr>
        <sz val="11"/>
        <color theme="1"/>
        <rFont val="Calibri"/>
        <family val="2"/>
        <scheme val="minor"/>
      </rPr>
      <t xml:space="preserve"> (same idea as </t>
    </r>
    <r>
      <rPr>
        <sz val="10"/>
        <color theme="1"/>
        <rFont val="Arial Unicode MS"/>
        <family val="2"/>
      </rPr>
      <t>MATCH(MIN(...))</t>
    </r>
    <r>
      <rPr>
        <sz val="11"/>
        <color theme="1"/>
        <rFont val="Calibri"/>
        <family val="2"/>
        <scheme val="minor"/>
      </rPr>
      <t>) → recompute means → repeat until centroids stop moving (</t>
    </r>
    <r>
      <rPr>
        <sz val="10"/>
        <color theme="1"/>
        <rFont val="Arial Unicode MS"/>
        <family val="2"/>
      </rPr>
      <t>np.allclose</t>
    </r>
    <r>
      <rPr>
        <sz val="11"/>
        <color theme="1"/>
        <rFont val="Calibri"/>
        <family val="2"/>
        <scheme val="minor"/>
      </rPr>
      <t>).</t>
    </r>
  </si>
  <si>
    <r>
      <t>The sklearn block</t>
    </r>
    <r>
      <rPr>
        <sz val="11"/>
        <color theme="1"/>
        <rFont val="Calibri"/>
        <family val="2"/>
        <scheme val="minor"/>
      </rPr>
      <t xml:space="preserve"> shows the real-world way: </t>
    </r>
    <r>
      <rPr>
        <sz val="10"/>
        <color theme="1"/>
        <rFont val="Arial Unicode MS"/>
        <family val="2"/>
      </rPr>
      <t>KMeans(n_clusters=2, init=np.array([[4],[11]]))</t>
    </r>
    <r>
      <rPr>
        <sz val="11"/>
        <color theme="1"/>
        <rFont val="Calibri"/>
        <family val="2"/>
        <scheme val="minor"/>
      </rPr>
      <t xml:space="preserve"> does all of this internally in one call. Note sklearn always wants a 2-D array (</t>
    </r>
    <r>
      <rPr>
        <sz val="10"/>
        <color theme="1"/>
        <rFont val="Arial Unicode MS"/>
        <family val="2"/>
      </rPr>
      <t>X.reshape(-1, 1)</t>
    </r>
    <r>
      <rPr>
        <sz val="11"/>
        <color theme="1"/>
        <rFont val="Calibri"/>
        <family val="2"/>
        <scheme val="minor"/>
      </rPr>
      <t xml:space="preserve">) even for 1-D data — that's the </t>
    </r>
    <r>
      <rPr>
        <sz val="10"/>
        <color theme="1"/>
        <rFont val="Arial Unicode MS"/>
        <family val="2"/>
      </rPr>
      <t>n_samples × n_features</t>
    </r>
    <r>
      <rPr>
        <sz val="11"/>
        <color theme="1"/>
        <rFont val="Calibri"/>
        <family val="2"/>
        <scheme val="minor"/>
      </rPr>
      <t xml:space="preserve"> convention you'll see everywhere in sklearn, worth remembering as you move into the multi-feature ANN/clustering material.</t>
    </r>
  </si>
  <si>
    <t>Kmeans 1d</t>
  </si>
  <si>
    <t>PY </t>
  </si>
  <si>
    <t>thanks! it is sufficient for me for today's practice.</t>
  </si>
  <si>
    <t>Glad it was useful — have a good rest of your day!</t>
  </si>
  <si>
    <t>Want to be notified when Claude responds?</t>
  </si>
  <si>
    <t>Claude is AI and can make mistakes. Please double-check responses.</t>
  </si>
  <si>
    <t>A couple of pointers to make the search quicker:</t>
  </si>
  <si>
    <r>
      <t>1. On that same GitHub repo</t>
    </r>
    <r>
      <rPr>
        <sz val="11"/>
        <color theme="1"/>
        <rFont val="Calibri"/>
        <family val="2"/>
        <scheme val="minor"/>
      </rPr>
      <t xml:space="preserve">, go up one level to the </t>
    </r>
    <r>
      <rPr>
        <sz val="10"/>
        <color theme="1"/>
        <rFont val="Arial Unicode MS"/>
        <family val="2"/>
      </rPr>
      <t>week1</t>
    </r>
    <r>
      <rPr>
        <sz val="11"/>
        <color theme="1"/>
        <rFont val="Calibri"/>
        <family val="2"/>
        <scheme val="minor"/>
      </rPr>
      <t xml:space="preserve"> folder (click the </t>
    </r>
    <r>
      <rPr>
        <sz val="10"/>
        <color theme="1"/>
        <rFont val="Arial Unicode MS"/>
        <family val="2"/>
      </rPr>
      <t>week1</t>
    </r>
    <r>
      <rPr>
        <sz val="11"/>
        <color theme="1"/>
        <rFont val="Calibri"/>
        <family val="2"/>
        <scheme val="minor"/>
      </rPr>
      <t xml:space="preserve"> breadcrumb link at the top). You should see </t>
    </r>
    <r>
      <rPr>
        <sz val="10"/>
        <color theme="1"/>
        <rFont val="Arial Unicode MS"/>
        <family val="2"/>
      </rPr>
      <t>lab_utils_uni.py</t>
    </r>
    <r>
      <rPr>
        <sz val="11"/>
        <color theme="1"/>
        <rFont val="Calibri"/>
        <family val="2"/>
        <scheme val="minor"/>
      </rPr>
      <t xml:space="preserve"> listed alongside the </t>
    </r>
    <r>
      <rPr>
        <sz val="10"/>
        <color theme="1"/>
        <rFont val="Arial Unicode MS"/>
        <family val="2"/>
      </rPr>
      <t>.ipynb</t>
    </r>
    <r>
      <rPr>
        <sz val="11"/>
        <color theme="1"/>
        <rFont val="Calibri"/>
        <family val="2"/>
        <scheme val="minor"/>
      </rPr>
      <t xml:space="preserve"> files.</t>
    </r>
  </si>
  <si>
    <r>
      <t xml:space="preserve">2. Click on </t>
    </r>
    <r>
      <rPr>
        <sz val="10"/>
        <color theme="1"/>
        <rFont val="Arial Unicode MS"/>
        <family val="2"/>
      </rPr>
      <t>lab_utils_uni.py</t>
    </r>
    <r>
      <rPr>
        <sz val="11"/>
        <color theme="1"/>
        <rFont val="Calibri"/>
        <family val="2"/>
        <scheme val="minor"/>
      </rPr>
      <t xml:space="preserve"> → click the </t>
    </r>
    <r>
      <rPr>
        <b/>
        <sz val="11"/>
        <color theme="1"/>
        <rFont val="Calibri"/>
        <family val="2"/>
        <scheme val="minor"/>
      </rPr>
      <t>Raw</t>
    </r>
    <r>
      <rPr>
        <sz val="11"/>
        <color theme="1"/>
        <rFont val="Calibri"/>
        <family val="2"/>
        <scheme val="minor"/>
      </rPr>
      <t xml:space="preserve"> button → then right-click → "Save As" (or use the download icon) to save it as </t>
    </r>
    <r>
      <rPr>
        <sz val="10"/>
        <color theme="1"/>
        <rFont val="Arial Unicode MS"/>
        <family val="2"/>
      </rPr>
      <t>lab_utils_uni.py</t>
    </r>
    <r>
      <rPr>
        <sz val="11"/>
        <color theme="1"/>
        <rFont val="Calibri"/>
        <family val="2"/>
        <scheme val="minor"/>
      </rPr>
      <t>.</t>
    </r>
  </si>
  <si>
    <r>
      <t xml:space="preserve">3. Also grab </t>
    </r>
    <r>
      <rPr>
        <b/>
        <sz val="10"/>
        <color theme="1"/>
        <rFont val="Arial Unicode MS"/>
        <family val="2"/>
      </rPr>
      <t>deeplearning.mplstyle</t>
    </r>
    <r>
      <rPr>
        <sz val="11"/>
        <color theme="1"/>
        <rFont val="Calibri"/>
        <family val="2"/>
        <scheme val="minor"/>
      </rPr>
      <t xml:space="preserve"> if it's in that folder — your notebook has </t>
    </r>
    <r>
      <rPr>
        <sz val="10"/>
        <color theme="1"/>
        <rFont val="Arial Unicode MS"/>
        <family val="2"/>
      </rPr>
      <t>plt.style.use('./deeplearning.mplstyle')</t>
    </r>
    <r>
      <rPr>
        <sz val="11"/>
        <color theme="1"/>
        <rFont val="Calibri"/>
        <family val="2"/>
        <scheme val="minor"/>
      </rPr>
      <t>, which will also throw an error if that file is missing.</t>
    </r>
  </si>
  <si>
    <r>
      <t xml:space="preserve">4. If there's an </t>
    </r>
    <r>
      <rPr>
        <sz val="10"/>
        <color theme="1"/>
        <rFont val="Arial Unicode MS"/>
        <family val="2"/>
      </rPr>
      <t>images</t>
    </r>
    <r>
      <rPr>
        <sz val="11"/>
        <color theme="1"/>
        <rFont val="Calibri"/>
        <family val="2"/>
        <scheme val="minor"/>
      </rPr>
      <t xml:space="preserve"> folder used by the plotting functions, you may want that too (some of the </t>
    </r>
    <r>
      <rPr>
        <sz val="10"/>
        <color theme="1"/>
        <rFont val="Arial Unicode MS"/>
        <family val="2"/>
      </rPr>
      <t>lab_utils_uni</t>
    </r>
    <r>
      <rPr>
        <sz val="11"/>
        <color theme="1"/>
        <rFont val="Calibri"/>
        <family val="2"/>
        <scheme val="minor"/>
      </rPr>
      <t xml:space="preserve"> plotting functions load background images).</t>
    </r>
  </si>
  <si>
    <r>
      <t xml:space="preserve">Easiest overall approach: instead of hunting file-by-file, click the green </t>
    </r>
    <r>
      <rPr>
        <b/>
        <sz val="11"/>
        <color theme="1"/>
        <rFont val="Calibri"/>
        <family val="2"/>
        <scheme val="minor"/>
      </rPr>
      <t>Code</t>
    </r>
    <r>
      <rPr>
        <sz val="11"/>
        <color theme="1"/>
        <rFont val="Calibri"/>
        <family val="2"/>
        <scheme val="minor"/>
      </rPr>
      <t xml:space="preserve"> button on the repo's main page → </t>
    </r>
    <r>
      <rPr>
        <b/>
        <sz val="11"/>
        <color theme="1"/>
        <rFont val="Calibri"/>
        <family val="2"/>
        <scheme val="minor"/>
      </rPr>
      <t>Download ZIP</t>
    </r>
    <r>
      <rPr>
        <sz val="11"/>
        <color theme="1"/>
        <rFont val="Calibri"/>
        <family val="2"/>
        <scheme val="minor"/>
      </rPr>
      <t xml:space="preserve"> → extract it. That gives you the whole </t>
    </r>
    <r>
      <rPr>
        <sz val="10"/>
        <color theme="1"/>
        <rFont val="Arial Unicode MS"/>
        <family val="2"/>
      </rPr>
      <t>week1</t>
    </r>
    <r>
      <rPr>
        <sz val="11"/>
        <color theme="1"/>
        <rFont val="Calibri"/>
        <family val="2"/>
        <scheme val="minor"/>
      </rPr>
      <t xml:space="preserve"> folder (notebook + helper files + images) all matched to the right version, which avoids version-mismatch headaches between the notebook and the helper script.</t>
    </r>
  </si>
  <si>
    <t>Let me know once you've got it in place — if the import still errors after that, send me the traceback and I'll help sort it out.</t>
  </si>
  <si>
    <t>New Centriods=&gt;</t>
  </si>
  <si>
    <t>If match_type is omitted, it is assumed to be 1.</t>
  </si>
  <si>
    <r>
      <t>If match_type is</t>
    </r>
    <r>
      <rPr>
        <b/>
        <sz val="13.2"/>
        <color rgb="FFFF0000"/>
        <rFont val="Arial"/>
        <family val="2"/>
      </rPr>
      <t xml:space="preserve"> -1, MATCH finds the smallest value that is greater than or equal to lookup_value</t>
    </r>
    <r>
      <rPr>
        <b/>
        <sz val="13.2"/>
        <color rgb="FF555555"/>
        <rFont val="Arial"/>
        <family val="2"/>
      </rPr>
      <t>. Lookup_array must be placed in descending order: TRUE, FALSE, Z-A, ...2, 1, 0, -1, -2, ..., and so on.</t>
    </r>
  </si>
  <si>
    <r>
      <t xml:space="preserve">If match_type is </t>
    </r>
    <r>
      <rPr>
        <b/>
        <sz val="13.2"/>
        <color rgb="FFFF0000"/>
        <rFont val="Arial"/>
        <family val="2"/>
      </rPr>
      <t>0, MATCH finds the first value that is exactly equal to lookup_value. ANY ORDER OK</t>
    </r>
  </si>
  <si>
    <r>
      <t>If match_type is</t>
    </r>
    <r>
      <rPr>
        <b/>
        <sz val="13.2"/>
        <color rgb="FFFF0000"/>
        <rFont val="Arial"/>
        <family val="2"/>
      </rPr>
      <t xml:space="preserve"> 1,</t>
    </r>
    <r>
      <rPr>
        <b/>
        <sz val="13.2"/>
        <color rgb="FF555555"/>
        <rFont val="Arial"/>
        <family val="2"/>
      </rPr>
      <t xml:space="preserve"> MATCH </t>
    </r>
    <r>
      <rPr>
        <b/>
        <sz val="13.2"/>
        <color rgb="FFFF0000"/>
        <rFont val="Arial"/>
        <family val="2"/>
      </rPr>
      <t>finds the largest value that is less than or equal to lookup_value.</t>
    </r>
    <r>
      <rPr>
        <b/>
        <sz val="13.2"/>
        <color rgb="FF555555"/>
        <rFont val="Arial"/>
        <family val="2"/>
      </rPr>
      <t xml:space="preserve"> Lookup_array must be placed in ascending order: ...-2, -1, 0, 1, 2, ..., A-Z, FALSE, TRUE.</t>
    </r>
  </si>
  <si>
    <t>Min Value</t>
  </si>
  <si>
    <t>A</t>
  </si>
  <si>
    <t>Property Value</t>
  </si>
  <si>
    <t>Commission</t>
  </si>
  <si>
    <t>Formula</t>
  </si>
  <si>
    <t>Description (result)</t>
  </si>
  <si>
    <t>Average of all commissions less than 23,000 (14,000)</t>
  </si>
  <si>
    <t>Average of all property values less than 95,000 (#DIV/0!)</t>
  </si>
  <si>
    <t>Average of all commissions with a property value greater than 250,000 (24,500)</t>
  </si>
  <si>
    <t>Region</t>
  </si>
  <si>
    <t>Profits (Thousands)</t>
  </si>
  <si>
    <t>East</t>
  </si>
  <si>
    <t>West</t>
  </si>
  <si>
    <t>North</t>
  </si>
  <si>
    <t>South (New Office)</t>
  </si>
  <si>
    <t>MidWest</t>
  </si>
  <si>
    <r>
      <t xml:space="preserve">.=AVERAGEIF(A2:B5,"&gt;250000",     </t>
    </r>
    <r>
      <rPr>
        <sz val="16"/>
        <color rgb="FFFF0000"/>
        <rFont val="Calibri"/>
        <family val="2"/>
        <scheme val="minor"/>
      </rPr>
      <t>B2:B5</t>
    </r>
    <r>
      <rPr>
        <sz val="11"/>
        <color theme="1"/>
        <rFont val="Calibri"/>
        <family val="2"/>
        <scheme val="minor"/>
      </rPr>
      <t>)</t>
    </r>
  </si>
  <si>
    <r>
      <t xml:space="preserve">Average of </t>
    </r>
    <r>
      <rPr>
        <sz val="16"/>
        <color rgb="FFFF0000"/>
        <rFont val="Calibri"/>
        <family val="2"/>
        <scheme val="minor"/>
      </rPr>
      <t>all commissions</t>
    </r>
    <r>
      <rPr>
        <sz val="11"/>
        <color theme="1"/>
        <rFont val="Calibri"/>
        <family val="2"/>
        <scheme val="minor"/>
      </rPr>
      <t xml:space="preserve"> with a property value greater than 250,000 </t>
    </r>
  </si>
  <si>
    <t>Average of all property values less than 95,000</t>
  </si>
  <si>
    <r>
      <t>Average of</t>
    </r>
    <r>
      <rPr>
        <sz val="16"/>
        <color rgb="FFFF0000"/>
        <rFont val="Calibri"/>
        <family val="2"/>
        <scheme val="minor"/>
      </rPr>
      <t xml:space="preserve"> all profits </t>
    </r>
    <r>
      <rPr>
        <sz val="11"/>
        <color theme="1"/>
        <rFont val="Calibri"/>
        <family val="2"/>
        <scheme val="minor"/>
      </rPr>
      <t>for the West and MidWest regions (16,733.5)</t>
    </r>
  </si>
  <si>
    <r>
      <t xml:space="preserve">Average of </t>
    </r>
    <r>
      <rPr>
        <sz val="18"/>
        <color rgb="FFFF0000"/>
        <rFont val="Calibri"/>
        <family val="2"/>
        <scheme val="minor"/>
      </rPr>
      <t>all profits</t>
    </r>
    <r>
      <rPr>
        <sz val="11"/>
        <color theme="1"/>
        <rFont val="Calibri"/>
        <family val="2"/>
        <scheme val="minor"/>
      </rPr>
      <t xml:space="preserve"> for all regions</t>
    </r>
    <r>
      <rPr>
        <sz val="11"/>
        <color rgb="FFFF0000"/>
        <rFont val="Calibri"/>
        <family val="2"/>
        <scheme val="minor"/>
      </rPr>
      <t xml:space="preserve"> excluding new offices</t>
    </r>
    <r>
      <rPr>
        <sz val="11"/>
        <color theme="1"/>
        <rFont val="Calibri"/>
        <family val="2"/>
        <scheme val="minor"/>
      </rPr>
      <t xml:space="preserve"> (18,589)</t>
    </r>
  </si>
  <si>
    <t>K-Means Clustering (2-D) &amp; 3 CLUSTERS— Manual Calculation to Convergence</t>
  </si>
  <si>
    <r>
      <rPr>
        <b/>
        <sz val="16"/>
        <color theme="1"/>
        <rFont val="Calibri"/>
        <family val="2"/>
        <scheme val="minor"/>
      </rPr>
      <t>New centroids:</t>
    </r>
    <r>
      <rPr>
        <sz val="16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Cluster1=</t>
    </r>
    <r>
      <rPr>
        <b/>
        <sz val="18"/>
        <color rgb="FFFF0000"/>
        <rFont val="Calibri"/>
        <family val="2"/>
        <scheme val="minor"/>
      </rPr>
      <t xml:space="preserve">{A1} </t>
    </r>
    <r>
      <rPr>
        <sz val="11"/>
        <color theme="1"/>
        <rFont val="Calibri"/>
        <family val="2"/>
        <scheme val="minor"/>
      </rPr>
      <t>→ (2, 10); Cluster2</t>
    </r>
    <r>
      <rPr>
        <sz val="16"/>
        <color rgb="FFFF0000"/>
        <rFont val="Calibri"/>
        <family val="2"/>
        <scheme val="minor"/>
      </rPr>
      <t>(B1)</t>
    </r>
    <r>
      <rPr>
        <sz val="11"/>
        <color theme="1"/>
        <rFont val="Calibri"/>
        <family val="2"/>
        <scheme val="minor"/>
      </rPr>
      <t>→ (6, 6); Cluster3=</t>
    </r>
    <r>
      <rPr>
        <sz val="16"/>
        <color rgb="FFFF0000"/>
        <rFont val="Calibri"/>
        <family val="2"/>
        <scheme val="minor"/>
      </rPr>
      <t>{C1}</t>
    </r>
    <r>
      <rPr>
        <sz val="11"/>
        <color theme="1"/>
        <rFont val="Calibri"/>
        <family val="2"/>
        <scheme val="minor"/>
      </rPr>
      <t xml:space="preserve"> → (1.5, 3.5)</t>
    </r>
  </si>
  <si>
    <t>Initial centroids: C1c=(2,10), C2c=(5,8), C3c=(1,2)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</si>
</sst>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4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4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rgb="FFFF0000"/>
      <name val="Arial Unicode MS"/>
      <family val="2"/>
    </font>
    <font>
      <i/>
      <sz val="10"/>
      <color rgb="FF0070C0"/>
      <name val="Arial Unicode MS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 val="double"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rgb="FFC00000"/>
      <name val="Arial Unicode MS"/>
      <family val="2"/>
    </font>
    <font>
      <sz val="11"/>
      <color rgb="FFFF0000"/>
      <name val="Calibri"/>
      <family val="2"/>
      <scheme val="minor"/>
    </font>
    <font>
      <sz val="14"/>
      <color theme="1"/>
      <name val="Arial Unicode MS"/>
      <family val="2"/>
    </font>
    <font>
      <i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u/>
      <sz val="11"/>
      <color theme="10"/>
      <name val="Calibri"/>
      <family val="2"/>
    </font>
    <font>
      <b/>
      <sz val="13.2"/>
      <color rgb="FF555555"/>
      <name val="Arial"/>
      <family val="2"/>
    </font>
    <font>
      <b/>
      <sz val="13.2"/>
      <color rgb="FFFF0000"/>
      <name val="Arial"/>
      <family val="2"/>
    </font>
    <font>
      <b/>
      <sz val="11"/>
      <color rgb="FFFFFFFF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6B82B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left" indent="1"/>
    </xf>
    <xf numFmtId="0" fontId="0" fillId="2" borderId="1" xfId="0" applyFill="1" applyBorder="1" applyAlignment="1">
      <alignment wrapText="1"/>
    </xf>
    <xf numFmtId="0" fontId="0" fillId="3" borderId="0" xfId="0" applyFill="1"/>
    <xf numFmtId="2" fontId="0" fillId="3" borderId="0" xfId="0" applyNumberFormat="1" applyFill="1"/>
    <xf numFmtId="0" fontId="0" fillId="0" borderId="1" xfId="0" applyFill="1" applyBorder="1" applyAlignment="1">
      <alignment wrapText="1"/>
    </xf>
    <xf numFmtId="0" fontId="0" fillId="0" borderId="1" xfId="0" applyBorder="1"/>
    <xf numFmtId="0" fontId="0" fillId="4" borderId="1" xfId="0" applyFill="1" applyBorder="1" applyAlignment="1">
      <alignment wrapText="1"/>
    </xf>
    <xf numFmtId="0" fontId="1" fillId="5" borderId="1" xfId="0" applyFont="1" applyFill="1" applyBorder="1" applyAlignment="1">
      <alignment horizontal="right" vertical="center" wrapText="1"/>
    </xf>
    <xf numFmtId="0" fontId="0" fillId="5" borderId="1" xfId="0" applyFill="1" applyBorder="1" applyAlignment="1">
      <alignment horizontal="right" wrapText="1"/>
    </xf>
    <xf numFmtId="0" fontId="0" fillId="6" borderId="1" xfId="0" applyFill="1" applyBorder="1" applyAlignment="1">
      <alignment horizontal="right" wrapText="1"/>
    </xf>
    <xf numFmtId="0" fontId="6" fillId="0" borderId="0" xfId="0" applyFont="1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wrapText="1"/>
    </xf>
    <xf numFmtId="16" fontId="0" fillId="0" borderId="0" xfId="0" applyNumberFormat="1" applyAlignment="1">
      <alignment horizontal="right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0" borderId="1" xfId="0" applyFont="1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5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2" borderId="0" xfId="0" applyFont="1" applyFill="1"/>
    <xf numFmtId="0" fontId="5" fillId="7" borderId="0" xfId="0" applyFont="1" applyFill="1"/>
    <xf numFmtId="0" fontId="11" fillId="7" borderId="0" xfId="0" applyFont="1" applyFill="1"/>
    <xf numFmtId="0" fontId="5" fillId="5" borderId="0" xfId="0" applyFont="1" applyFill="1"/>
    <xf numFmtId="0" fontId="5" fillId="3" borderId="0" xfId="0" applyFont="1" applyFill="1"/>
    <xf numFmtId="0" fontId="0" fillId="8" borderId="0" xfId="0" applyFill="1"/>
    <xf numFmtId="0" fontId="14" fillId="0" borderId="1" xfId="0" applyFont="1" applyBorder="1" applyAlignment="1">
      <alignment horizontal="left" vertical="center" wrapText="1"/>
    </xf>
    <xf numFmtId="0" fontId="15" fillId="0" borderId="0" xfId="0" applyFont="1"/>
    <xf numFmtId="1" fontId="0" fillId="0" borderId="1" xfId="0" applyNumberFormat="1" applyBorder="1" applyAlignment="1">
      <alignment horizontal="left"/>
    </xf>
    <xf numFmtId="0" fontId="2" fillId="0" borderId="0" xfId="0" applyFont="1" applyAlignment="1">
      <alignment horizontal="left"/>
    </xf>
    <xf numFmtId="164" fontId="0" fillId="6" borderId="1" xfId="0" applyNumberFormat="1" applyFill="1" applyBorder="1" applyAlignment="1">
      <alignment horizontal="left" wrapText="1"/>
    </xf>
    <xf numFmtId="164" fontId="0" fillId="0" borderId="0" xfId="0" applyNumberFormat="1"/>
    <xf numFmtId="164" fontId="0" fillId="0" borderId="0" xfId="0" applyNumberFormat="1" applyAlignment="1">
      <alignment horizontal="left"/>
    </xf>
    <xf numFmtId="0" fontId="6" fillId="0" borderId="0" xfId="0" applyFont="1" applyAlignment="1">
      <alignment horizontal="left" indent="1"/>
    </xf>
    <xf numFmtId="0" fontId="16" fillId="0" borderId="2" xfId="0" applyFont="1" applyBorder="1" applyAlignment="1">
      <alignment horizontal="left" indent="1"/>
    </xf>
    <xf numFmtId="0" fontId="0" fillId="0" borderId="1" xfId="0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0" fontId="15" fillId="0" borderId="0" xfId="0" applyFont="1" applyAlignment="1">
      <alignment wrapText="1"/>
    </xf>
    <xf numFmtId="0" fontId="14" fillId="0" borderId="0" xfId="0" applyFont="1" applyAlignment="1">
      <alignment horizontal="right" wrapText="1"/>
    </xf>
    <xf numFmtId="0" fontId="14" fillId="0" borderId="0" xfId="0" applyFont="1" applyAlignment="1">
      <alignment wrapText="1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right" vertical="top" wrapText="1"/>
    </xf>
    <xf numFmtId="2" fontId="17" fillId="9" borderId="0" xfId="0" applyNumberFormat="1" applyFont="1" applyFill="1" applyAlignment="1">
      <alignment horizontal="right" vertical="top" wrapText="1"/>
    </xf>
    <xf numFmtId="0" fontId="17" fillId="9" borderId="0" xfId="0" applyFont="1" applyFill="1" applyAlignment="1">
      <alignment vertical="top" wrapText="1"/>
    </xf>
    <xf numFmtId="2" fontId="0" fillId="3" borderId="0" xfId="0" applyNumberFormat="1" applyFill="1" applyAlignment="1">
      <alignment vertical="top"/>
    </xf>
    <xf numFmtId="0" fontId="1" fillId="9" borderId="0" xfId="0" applyFont="1" applyFill="1" applyAlignment="1">
      <alignment horizontal="left" indent="1"/>
    </xf>
    <xf numFmtId="0" fontId="0" fillId="9" borderId="0" xfId="0" applyFill="1"/>
    <xf numFmtId="0" fontId="7" fillId="9" borderId="2" xfId="0" applyFont="1" applyFill="1" applyBorder="1" applyAlignment="1">
      <alignment horizontal="left" indent="1"/>
    </xf>
    <xf numFmtId="0" fontId="8" fillId="9" borderId="2" xfId="0" applyFont="1" applyFill="1" applyBorder="1"/>
    <xf numFmtId="0" fontId="0" fillId="9" borderId="0" xfId="0" applyFill="1" applyAlignment="1">
      <alignment horizontal="left" indent="1"/>
    </xf>
    <xf numFmtId="0" fontId="0" fillId="0" borderId="4" xfId="0" applyBorder="1"/>
    <xf numFmtId="164" fontId="1" fillId="0" borderId="0" xfId="0" applyNumberFormat="1" applyFont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3" fillId="0" borderId="0" xfId="0" applyFont="1"/>
    <xf numFmtId="164" fontId="0" fillId="0" borderId="0" xfId="0" applyNumberFormat="1" applyFont="1"/>
    <xf numFmtId="164" fontId="0" fillId="9" borderId="0" xfId="0" applyNumberFormat="1" applyFill="1" applyAlignment="1">
      <alignment horizontal="left"/>
    </xf>
    <xf numFmtId="164" fontId="24" fillId="9" borderId="0" xfId="0" applyNumberFormat="1" applyFont="1" applyFill="1" applyAlignment="1">
      <alignment horizontal="left"/>
    </xf>
    <xf numFmtId="0" fontId="23" fillId="9" borderId="0" xfId="0" applyFont="1" applyFill="1"/>
    <xf numFmtId="0" fontId="25" fillId="0" borderId="0" xfId="0" applyFont="1"/>
    <xf numFmtId="165" fontId="23" fillId="0" borderId="0" xfId="0" applyNumberFormat="1" applyFont="1"/>
    <xf numFmtId="0" fontId="24" fillId="0" borderId="0" xfId="0" applyFont="1"/>
    <xf numFmtId="0" fontId="18" fillId="0" borderId="0" xfId="0" applyFont="1" applyAlignment="1">
      <alignment vertical="top"/>
    </xf>
    <xf numFmtId="0" fontId="0" fillId="8" borderId="0" xfId="0" applyFont="1" applyFill="1" applyAlignment="1">
      <alignment wrapText="1"/>
    </xf>
    <xf numFmtId="0" fontId="1" fillId="8" borderId="0" xfId="0" applyFont="1" applyFill="1" applyAlignment="1">
      <alignment horizontal="right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22" fillId="0" borderId="0" xfId="0" applyFont="1" applyAlignment="1">
      <alignment horizontal="right" vertical="top"/>
    </xf>
    <xf numFmtId="0" fontId="21" fillId="0" borderId="0" xfId="0" applyFont="1" applyAlignment="1">
      <alignment vertical="top" wrapText="1"/>
    </xf>
    <xf numFmtId="165" fontId="21" fillId="0" borderId="0" xfId="0" applyNumberFormat="1" applyFont="1" applyAlignment="1">
      <alignment horizontal="right" vertical="top" wrapText="1"/>
    </xf>
    <xf numFmtId="0" fontId="19" fillId="0" borderId="10" xfId="0" applyFont="1" applyBorder="1" applyAlignment="1">
      <alignment vertical="top" wrapText="1"/>
    </xf>
    <xf numFmtId="0" fontId="19" fillId="0" borderId="11" xfId="0" applyFont="1" applyBorder="1" applyAlignment="1">
      <alignment horizontal="right" vertical="top" wrapText="1"/>
    </xf>
    <xf numFmtId="0" fontId="22" fillId="0" borderId="11" xfId="0" applyFont="1" applyBorder="1" applyAlignment="1">
      <alignment horizontal="left" vertical="top"/>
    </xf>
    <xf numFmtId="0" fontId="0" fillId="0" borderId="11" xfId="0" applyBorder="1"/>
    <xf numFmtId="0" fontId="0" fillId="0" borderId="12" xfId="0" applyBorder="1"/>
    <xf numFmtId="0" fontId="14" fillId="0" borderId="0" xfId="0" applyFont="1"/>
    <xf numFmtId="0" fontId="15" fillId="0" borderId="1" xfId="0" applyFont="1" applyBorder="1" applyAlignment="1">
      <alignment horizontal="left" wrapText="1"/>
    </xf>
    <xf numFmtId="0" fontId="15" fillId="0" borderId="0" xfId="0" applyFont="1" applyAlignment="1">
      <alignment horizontal="left" indent="1"/>
    </xf>
    <xf numFmtId="0" fontId="14" fillId="0" borderId="0" xfId="0" applyFont="1" applyAlignment="1">
      <alignment horizontal="left" indent="1"/>
    </xf>
    <xf numFmtId="0" fontId="15" fillId="0" borderId="0" xfId="0" applyFont="1" applyAlignment="1">
      <alignment horizontal="right" wrapText="1"/>
    </xf>
    <xf numFmtId="0" fontId="15" fillId="7" borderId="0" xfId="0" applyFont="1" applyFill="1"/>
    <xf numFmtId="0" fontId="15" fillId="3" borderId="0" xfId="0" applyFont="1" applyFill="1"/>
    <xf numFmtId="0" fontId="15" fillId="5" borderId="0" xfId="0" applyFont="1" applyFill="1"/>
    <xf numFmtId="0" fontId="26" fillId="7" borderId="0" xfId="0" applyFont="1" applyFill="1"/>
    <xf numFmtId="0" fontId="15" fillId="2" borderId="0" xfId="0" applyFont="1" applyFill="1"/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right" vertical="top" wrapText="1"/>
    </xf>
    <xf numFmtId="0" fontId="15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0" xfId="0" applyFont="1" applyAlignment="1">
      <alignment horizontal="left"/>
    </xf>
    <xf numFmtId="2" fontId="15" fillId="0" borderId="1" xfId="0" applyNumberFormat="1" applyFont="1" applyBorder="1" applyAlignment="1">
      <alignment horizontal="left" wrapText="1"/>
    </xf>
    <xf numFmtId="164" fontId="15" fillId="0" borderId="1" xfId="0" applyNumberFormat="1" applyFont="1" applyBorder="1" applyAlignment="1">
      <alignment horizontal="left" wrapText="1"/>
    </xf>
    <xf numFmtId="0" fontId="27" fillId="0" borderId="0" xfId="0" applyFont="1"/>
    <xf numFmtId="0" fontId="28" fillId="0" borderId="0" xfId="0" applyFont="1"/>
    <xf numFmtId="0" fontId="6" fillId="3" borderId="0" xfId="0" applyFont="1" applyFill="1"/>
    <xf numFmtId="0" fontId="13" fillId="0" borderId="0" xfId="0" applyFont="1"/>
    <xf numFmtId="165" fontId="0" fillId="5" borderId="0" xfId="0" applyNumberFormat="1" applyFill="1"/>
    <xf numFmtId="165" fontId="30" fillId="5" borderId="0" xfId="0" applyNumberFormat="1" applyFont="1" applyFill="1"/>
    <xf numFmtId="0" fontId="30" fillId="5" borderId="0" xfId="0" applyFont="1" applyFill="1"/>
    <xf numFmtId="0" fontId="0" fillId="7" borderId="5" xfId="0" applyFill="1" applyBorder="1"/>
    <xf numFmtId="0" fontId="1" fillId="7" borderId="6" xfId="0" applyFont="1" applyFill="1" applyBorder="1"/>
    <xf numFmtId="0" fontId="9" fillId="7" borderId="6" xfId="0" applyFont="1" applyFill="1" applyBorder="1"/>
    <xf numFmtId="0" fontId="0" fillId="7" borderId="7" xfId="0" applyFill="1" applyBorder="1"/>
    <xf numFmtId="0" fontId="0" fillId="7" borderId="13" xfId="0" applyFill="1" applyBorder="1"/>
    <xf numFmtId="0" fontId="0" fillId="7" borderId="0" xfId="0" applyFill="1" applyBorder="1"/>
    <xf numFmtId="0" fontId="0" fillId="7" borderId="14" xfId="0" applyFill="1" applyBorder="1"/>
    <xf numFmtId="0" fontId="20" fillId="7" borderId="15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5" xfId="0" applyFill="1" applyBorder="1" applyAlignment="1">
      <alignment horizontal="left" wrapText="1"/>
    </xf>
    <xf numFmtId="0" fontId="6" fillId="7" borderId="0" xfId="0" applyFont="1" applyFill="1" applyBorder="1" applyAlignment="1">
      <alignment horizontal="left" indent="1"/>
    </xf>
    <xf numFmtId="1" fontId="0" fillId="7" borderId="1" xfId="0" applyNumberFormat="1" applyFill="1" applyBorder="1" applyAlignment="1">
      <alignment horizontal="left"/>
    </xf>
    <xf numFmtId="164" fontId="0" fillId="7" borderId="16" xfId="0" applyNumberFormat="1" applyFill="1" applyBorder="1" applyAlignment="1">
      <alignment horizontal="left" wrapText="1"/>
    </xf>
    <xf numFmtId="0" fontId="16" fillId="7" borderId="2" xfId="0" applyFont="1" applyFill="1" applyBorder="1" applyAlignment="1">
      <alignment horizontal="left" indent="1"/>
    </xf>
    <xf numFmtId="0" fontId="30" fillId="7" borderId="8" xfId="0" applyFont="1" applyFill="1" applyBorder="1"/>
    <xf numFmtId="0" fontId="0" fillId="7" borderId="2" xfId="0" applyFill="1" applyBorder="1" applyAlignment="1">
      <alignment horizontal="left" indent="1"/>
    </xf>
    <xf numFmtId="0" fontId="2" fillId="7" borderId="2" xfId="0" applyFont="1" applyFill="1" applyBorder="1" applyAlignment="1">
      <alignment horizontal="left"/>
    </xf>
    <xf numFmtId="164" fontId="0" fillId="7" borderId="9" xfId="0" applyNumberFormat="1" applyFill="1" applyBorder="1" applyAlignment="1">
      <alignment horizontal="left"/>
    </xf>
    <xf numFmtId="165" fontId="0" fillId="3" borderId="0" xfId="0" applyNumberFormat="1" applyFill="1" applyAlignment="1">
      <alignment horizontal="center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7" borderId="1" xfId="0" applyFill="1" applyBorder="1"/>
    <xf numFmtId="0" fontId="2" fillId="0" borderId="0" xfId="0" applyFont="1"/>
    <xf numFmtId="0" fontId="33" fillId="2" borderId="1" xfId="0" applyFont="1" applyFill="1" applyBorder="1"/>
    <xf numFmtId="0" fontId="34" fillId="2" borderId="1" xfId="0" applyFont="1" applyFill="1" applyBorder="1"/>
    <xf numFmtId="0" fontId="35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0" fontId="0" fillId="5" borderId="1" xfId="0" applyFill="1" applyBorder="1"/>
    <xf numFmtId="0" fontId="0" fillId="0" borderId="1" xfId="0" applyBorder="1" applyAlignment="1">
      <alignment horizontal="right"/>
    </xf>
    <xf numFmtId="0" fontId="0" fillId="7" borderId="1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10" borderId="1" xfId="0" applyFont="1" applyFill="1" applyBorder="1"/>
    <xf numFmtId="0" fontId="0" fillId="7" borderId="0" xfId="0" applyFill="1"/>
    <xf numFmtId="0" fontId="0" fillId="10" borderId="1" xfId="0" applyFill="1" applyBorder="1"/>
    <xf numFmtId="0" fontId="0" fillId="10" borderId="17" xfId="0" applyFill="1" applyBorder="1"/>
    <xf numFmtId="0" fontId="35" fillId="10" borderId="0" xfId="0" applyFont="1" applyFill="1" applyAlignment="1">
      <alignment horizontal="left"/>
    </xf>
    <xf numFmtId="0" fontId="35" fillId="10" borderId="3" xfId="0" applyFont="1" applyFill="1" applyBorder="1"/>
    <xf numFmtId="0" fontId="0" fillId="0" borderId="1" xfId="0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35" fillId="0" borderId="0" xfId="0" applyFont="1"/>
    <xf numFmtId="0" fontId="0" fillId="5" borderId="0" xfId="0" applyFill="1" applyAlignment="1">
      <alignment horizontal="left"/>
    </xf>
    <xf numFmtId="0" fontId="0" fillId="5" borderId="20" xfId="0" applyFill="1" applyBorder="1" applyAlignment="1"/>
    <xf numFmtId="166" fontId="0" fillId="5" borderId="20" xfId="0" applyNumberFormat="1" applyFill="1" applyBorder="1" applyAlignment="1"/>
    <xf numFmtId="0" fontId="1" fillId="7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0" borderId="5" xfId="0" applyBorder="1" applyAlignment="1">
      <alignment wrapText="1"/>
    </xf>
    <xf numFmtId="0" fontId="0" fillId="0" borderId="6" xfId="0" applyBorder="1" applyAlignment="1">
      <alignment horizontal="left"/>
    </xf>
    <xf numFmtId="0" fontId="17" fillId="0" borderId="21" xfId="0" applyFont="1" applyBorder="1" applyAlignment="1">
      <alignment vertical="center" wrapText="1"/>
    </xf>
    <xf numFmtId="0" fontId="1" fillId="0" borderId="21" xfId="0" applyFont="1" applyBorder="1" applyAlignment="1">
      <alignment horizontal="right" vertical="center" wrapText="1"/>
    </xf>
    <xf numFmtId="0" fontId="0" fillId="0" borderId="21" xfId="0" applyBorder="1" applyAlignment="1">
      <alignment horizontal="right" vertical="center" wrapText="1"/>
    </xf>
    <xf numFmtId="0" fontId="0" fillId="0" borderId="13" xfId="0" applyBorder="1"/>
    <xf numFmtId="0" fontId="34" fillId="2" borderId="0" xfId="0" applyFont="1" applyFill="1" applyBorder="1"/>
    <xf numFmtId="0" fontId="0" fillId="0" borderId="14" xfId="0" applyBorder="1"/>
    <xf numFmtId="0" fontId="0" fillId="0" borderId="0" xfId="0" applyBorder="1"/>
    <xf numFmtId="0" fontId="2" fillId="2" borderId="14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22" xfId="0" applyBorder="1"/>
    <xf numFmtId="0" fontId="0" fillId="0" borderId="22" xfId="0" applyBorder="1" applyAlignment="1">
      <alignment horizontal="center"/>
    </xf>
    <xf numFmtId="0" fontId="0" fillId="7" borderId="22" xfId="0" applyFill="1" applyBorder="1" applyAlignment="1">
      <alignment horizontal="right"/>
    </xf>
    <xf numFmtId="0" fontId="9" fillId="0" borderId="0" xfId="0" applyFont="1"/>
    <xf numFmtId="0" fontId="4" fillId="0" borderId="0" xfId="0" applyFont="1"/>
    <xf numFmtId="0" fontId="10" fillId="0" borderId="0" xfId="0" applyFont="1" applyAlignment="1">
      <alignment horizontal="left" indent="1"/>
    </xf>
    <xf numFmtId="0" fontId="36" fillId="0" borderId="0" xfId="1" applyAlignment="1" applyProtection="1"/>
    <xf numFmtId="0" fontId="0" fillId="11" borderId="0" xfId="0" applyFill="1"/>
    <xf numFmtId="0" fontId="0" fillId="11" borderId="1" xfId="0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37" fillId="0" borderId="0" xfId="0" applyFont="1"/>
    <xf numFmtId="0" fontId="39" fillId="13" borderId="0" xfId="0" applyFont="1" applyFill="1" applyAlignment="1">
      <alignment horizontal="left" wrapText="1"/>
    </xf>
    <xf numFmtId="3" fontId="0" fillId="12" borderId="0" xfId="0" applyNumberFormat="1" applyFill="1" applyAlignment="1">
      <alignment horizontal="left" vertical="top" wrapText="1"/>
    </xf>
    <xf numFmtId="0" fontId="0" fillId="12" borderId="0" xfId="0" applyFill="1" applyAlignment="1">
      <alignment horizontal="left" vertical="top" wrapText="1"/>
    </xf>
    <xf numFmtId="0" fontId="39" fillId="13" borderId="0" xfId="0" applyFont="1" applyFill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3" fontId="0" fillId="12" borderId="1" xfId="0" applyNumberFormat="1" applyFill="1" applyBorder="1" applyAlignment="1">
      <alignment horizontal="left" vertical="center" wrapText="1"/>
    </xf>
    <xf numFmtId="0" fontId="0" fillId="12" borderId="0" xfId="0" applyFill="1" applyAlignment="1">
      <alignment horizontal="left" vertical="center" wrapText="1"/>
    </xf>
    <xf numFmtId="0" fontId="35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wrapText="1"/>
    </xf>
    <xf numFmtId="0" fontId="0" fillId="14" borderId="0" xfId="0" applyFill="1" applyAlignment="1">
      <alignment horizontal="right" wrapText="1"/>
    </xf>
    <xf numFmtId="0" fontId="0" fillId="15" borderId="0" xfId="0" applyFill="1" applyAlignment="1">
      <alignment wrapText="1"/>
    </xf>
    <xf numFmtId="0" fontId="40" fillId="2" borderId="1" xfId="0" applyFont="1" applyFill="1" applyBorder="1" applyAlignment="1">
      <alignment horizontal="left"/>
    </xf>
    <xf numFmtId="0" fontId="6" fillId="2" borderId="0" xfId="0" applyFont="1" applyFill="1"/>
    <xf numFmtId="0" fontId="24" fillId="2" borderId="0" xfId="0" applyFont="1" applyFill="1"/>
    <xf numFmtId="0" fontId="42" fillId="0" borderId="0" xfId="0" applyFont="1"/>
    <xf numFmtId="0" fontId="0" fillId="16" borderId="0" xfId="0" applyFill="1"/>
    <xf numFmtId="0" fontId="4" fillId="6" borderId="0" xfId="0" applyFont="1" applyFill="1"/>
    <xf numFmtId="0" fontId="1" fillId="6" borderId="0" xfId="0" applyFont="1" applyFill="1"/>
    <xf numFmtId="166" fontId="0" fillId="0" borderId="0" xfId="0" applyNumberFormat="1"/>
    <xf numFmtId="0" fontId="0" fillId="0" borderId="18" xfId="0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127000</xdr:colOff>
      <xdr:row>6</xdr:row>
      <xdr:rowOff>19050</xdr:rowOff>
    </xdr:from>
    <xdr:to>
      <xdr:col>8</xdr:col>
      <xdr:colOff>12700</xdr:colOff>
      <xdr:row>13</xdr:row>
      <xdr:rowOff>76200</xdr:rowOff>
    </xdr:to>
    <xdr:cxnSp macro="">
      <xdr:nvCxnSpPr>
        <xdr:cNvPr id="3" name="Straight Arrow Connector 2"/>
        <xdr:cNvCxnSpPr/>
      </xdr:nvCxnSpPr>
      <xdr:spPr>
        <a:xfrm rot="10800000" flipV="1">
          <a:off x="1333500" y="1612900"/>
          <a:ext cx="3587750" cy="1822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266700</xdr:colOff>
      <xdr:row>11</xdr:row>
      <xdr:rowOff>31750</xdr:rowOff>
    </xdr:from>
    <xdr:to>
      <xdr:col>10</xdr:col>
      <xdr:colOff>0</xdr:colOff>
      <xdr:row>14</xdr:row>
      <xdr:rowOff>133350</xdr:rowOff>
    </xdr:to>
    <xdr:cxnSp macro="">
      <xdr:nvCxnSpPr>
        <xdr:cNvPr id="5" name="Straight Arrow Connector 4"/>
        <xdr:cNvCxnSpPr/>
      </xdr:nvCxnSpPr>
      <xdr:spPr>
        <a:xfrm rot="10800000" flipV="1">
          <a:off x="1562100" y="2971800"/>
          <a:ext cx="3943350" cy="920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</xdr:colOff>
      <xdr:row>12</xdr:row>
      <xdr:rowOff>129540</xdr:rowOff>
    </xdr:from>
    <xdr:to>
      <xdr:col>14</xdr:col>
      <xdr:colOff>601980</xdr:colOff>
      <xdr:row>21</xdr:row>
      <xdr:rowOff>22860</xdr:rowOff>
    </xdr:to>
    <xdr:cxnSp macro="">
      <xdr:nvCxnSpPr>
        <xdr:cNvPr id="4" name="Straight Arrow Connector 3"/>
        <xdr:cNvCxnSpPr/>
      </xdr:nvCxnSpPr>
      <xdr:spPr>
        <a:xfrm rot="10800000" flipV="1">
          <a:off x="7200900" y="2667000"/>
          <a:ext cx="1813560" cy="153924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320040</xdr:colOff>
      <xdr:row>14</xdr:row>
      <xdr:rowOff>152400</xdr:rowOff>
    </xdr:from>
    <xdr:to>
      <xdr:col>15</xdr:col>
      <xdr:colOff>464820</xdr:colOff>
      <xdr:row>21</xdr:row>
      <xdr:rowOff>137160</xdr:rowOff>
    </xdr:to>
    <xdr:cxnSp macro="">
      <xdr:nvCxnSpPr>
        <xdr:cNvPr id="6" name="Straight Arrow Connector 5"/>
        <xdr:cNvCxnSpPr/>
      </xdr:nvCxnSpPr>
      <xdr:spPr>
        <a:xfrm rot="10800000" flipV="1">
          <a:off x="8122920" y="3055620"/>
          <a:ext cx="1363980" cy="126492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335280</xdr:colOff>
      <xdr:row>16</xdr:row>
      <xdr:rowOff>129540</xdr:rowOff>
    </xdr:from>
    <xdr:to>
      <xdr:col>16</xdr:col>
      <xdr:colOff>76200</xdr:colOff>
      <xdr:row>21</xdr:row>
      <xdr:rowOff>137160</xdr:rowOff>
    </xdr:to>
    <xdr:cxnSp macro="">
      <xdr:nvCxnSpPr>
        <xdr:cNvPr id="8" name="Straight Arrow Connector 7"/>
        <xdr:cNvCxnSpPr/>
      </xdr:nvCxnSpPr>
      <xdr:spPr>
        <a:xfrm rot="16200000" flipH="1">
          <a:off x="9071610" y="3684270"/>
          <a:ext cx="922020" cy="35052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0</xdr:colOff>
      <xdr:row>12</xdr:row>
      <xdr:rowOff>0</xdr:rowOff>
    </xdr:from>
    <xdr:to>
      <xdr:col>18</xdr:col>
      <xdr:colOff>60960</xdr:colOff>
      <xdr:row>18</xdr:row>
      <xdr:rowOff>15240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022080" y="2537460"/>
          <a:ext cx="1889760" cy="111252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579120</xdr:colOff>
      <xdr:row>7</xdr:row>
      <xdr:rowOff>60960</xdr:rowOff>
    </xdr:from>
    <xdr:to>
      <xdr:col>21</xdr:col>
      <xdr:colOff>205740</xdr:colOff>
      <xdr:row>12</xdr:row>
      <xdr:rowOff>68580</xdr:rowOff>
    </xdr:to>
    <xdr:cxnSp macro="">
      <xdr:nvCxnSpPr>
        <xdr:cNvPr id="3" name="Straight Arrow Connector 2"/>
        <xdr:cNvCxnSpPr/>
      </xdr:nvCxnSpPr>
      <xdr:spPr>
        <a:xfrm>
          <a:off x="11262360" y="1562100"/>
          <a:ext cx="3131820" cy="119634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7</xdr:row>
      <xdr:rowOff>15240</xdr:rowOff>
    </xdr:from>
    <xdr:to>
      <xdr:col>20</xdr:col>
      <xdr:colOff>129540</xdr:colOff>
      <xdr:row>12</xdr:row>
      <xdr:rowOff>53340</xdr:rowOff>
    </xdr:to>
    <xdr:cxnSp macro="">
      <xdr:nvCxnSpPr>
        <xdr:cNvPr id="5" name="Straight Arrow Connector 4"/>
        <xdr:cNvCxnSpPr/>
      </xdr:nvCxnSpPr>
      <xdr:spPr>
        <a:xfrm flipV="1">
          <a:off x="11666220" y="1516380"/>
          <a:ext cx="2042160" cy="122682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594360</xdr:colOff>
      <xdr:row>16</xdr:row>
      <xdr:rowOff>220980</xdr:rowOff>
    </xdr:from>
    <xdr:to>
      <xdr:col>15</xdr:col>
      <xdr:colOff>53340</xdr:colOff>
      <xdr:row>24</xdr:row>
      <xdr:rowOff>30480</xdr:rowOff>
    </xdr:to>
    <xdr:cxnSp macro="">
      <xdr:nvCxnSpPr>
        <xdr:cNvPr id="8" name="Straight Arrow Connector 7"/>
        <xdr:cNvCxnSpPr/>
      </xdr:nvCxnSpPr>
      <xdr:spPr>
        <a:xfrm>
          <a:off x="7383780" y="3771900"/>
          <a:ext cx="2964180" cy="20345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807720</xdr:colOff>
      <xdr:row>5</xdr:row>
      <xdr:rowOff>198120</xdr:rowOff>
    </xdr:from>
    <xdr:to>
      <xdr:col>10</xdr:col>
      <xdr:colOff>350520</xdr:colOff>
      <xdr:row>10</xdr:row>
      <xdr:rowOff>15240</xdr:rowOff>
    </xdr:to>
    <xdr:cxnSp macro="">
      <xdr:nvCxnSpPr>
        <xdr:cNvPr id="7" name="Straight Arrow Connector 6"/>
        <xdr:cNvCxnSpPr/>
      </xdr:nvCxnSpPr>
      <xdr:spPr>
        <a:xfrm rot="5400000">
          <a:off x="6248400" y="1432560"/>
          <a:ext cx="1066800" cy="716280"/>
        </a:xfrm>
        <a:prstGeom prst="straightConnector1">
          <a:avLst/>
        </a:prstGeom>
        <a:ln>
          <a:headEnd type="arrow"/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99646</xdr:colOff>
      <xdr:row>556</xdr:row>
      <xdr:rowOff>17584</xdr:rowOff>
    </xdr:from>
    <xdr:to>
      <xdr:col>10</xdr:col>
      <xdr:colOff>35169</xdr:colOff>
      <xdr:row>568</xdr:row>
      <xdr:rowOff>82061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28492" y="114704446"/>
          <a:ext cx="1764323" cy="2209800"/>
        </a:xfrm>
        <a:prstGeom prst="rect">
          <a:avLst/>
        </a:prstGeom>
        <a:noFill/>
      </xdr:spPr>
    </xdr:pic>
    <xdr:clientData/>
  </xdr:twoCellAnchor>
  <xdr:twoCellAnchor>
    <xdr:from>
      <xdr:col>8</xdr:col>
      <xdr:colOff>310662</xdr:colOff>
      <xdr:row>564</xdr:row>
      <xdr:rowOff>46893</xdr:rowOff>
    </xdr:from>
    <xdr:to>
      <xdr:col>9</xdr:col>
      <xdr:colOff>474785</xdr:colOff>
      <xdr:row>564</xdr:row>
      <xdr:rowOff>58616</xdr:rowOff>
    </xdr:to>
    <xdr:cxnSp macro="">
      <xdr:nvCxnSpPr>
        <xdr:cNvPr id="4" name="Straight Arrow Connector 3"/>
        <xdr:cNvCxnSpPr/>
      </xdr:nvCxnSpPr>
      <xdr:spPr>
        <a:xfrm>
          <a:off x="6049108" y="116210862"/>
          <a:ext cx="773723" cy="11723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328246</xdr:colOff>
      <xdr:row>565</xdr:row>
      <xdr:rowOff>169984</xdr:rowOff>
    </xdr:from>
    <xdr:to>
      <xdr:col>9</xdr:col>
      <xdr:colOff>439616</xdr:colOff>
      <xdr:row>566</xdr:row>
      <xdr:rowOff>0</xdr:rowOff>
    </xdr:to>
    <xdr:cxnSp macro="">
      <xdr:nvCxnSpPr>
        <xdr:cNvPr id="6" name="Straight Arrow Connector 5"/>
        <xdr:cNvCxnSpPr/>
      </xdr:nvCxnSpPr>
      <xdr:spPr>
        <a:xfrm>
          <a:off x="6066692" y="116515661"/>
          <a:ext cx="720970" cy="11724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205740</xdr:colOff>
      <xdr:row>14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00400" y="0"/>
          <a:ext cx="2034540" cy="25603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support.anthropic.com/en/articles/8525154-claude-is-providing-incorrect-or-misleading-responses-what-s-going-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zoomScale="120" zoomScaleNormal="120" workbookViewId="0">
      <selection activeCell="D4" sqref="D4:D5"/>
    </sheetView>
  </sheetViews>
  <sheetFormatPr defaultRowHeight="14.4"/>
  <cols>
    <col min="1" max="1" width="10" customWidth="1"/>
    <col min="3" max="3" width="8.88671875" style="28"/>
    <col min="4" max="4" width="7.77734375" customWidth="1"/>
    <col min="5" max="5" width="7.33203125" customWidth="1"/>
    <col min="6" max="6" width="7.6640625" customWidth="1"/>
    <col min="7" max="7" width="7.44140625" customWidth="1"/>
    <col min="8" max="8" width="7.77734375" customWidth="1"/>
    <col min="9" max="9" width="4.5546875" customWidth="1"/>
    <col min="11" max="11" width="5.77734375" customWidth="1"/>
  </cols>
  <sheetData>
    <row r="1" spans="1:14" ht="45.6" customHeight="1">
      <c r="A1" s="186" t="s">
        <v>786</v>
      </c>
      <c r="B1" s="78"/>
      <c r="C1" s="187"/>
      <c r="D1" s="188" t="s">
        <v>783</v>
      </c>
      <c r="E1" s="189" t="s">
        <v>798</v>
      </c>
      <c r="F1" s="189" t="s">
        <v>799</v>
      </c>
      <c r="G1" s="190" t="s">
        <v>784</v>
      </c>
      <c r="H1" s="78"/>
      <c r="I1" s="79"/>
    </row>
    <row r="2" spans="1:14" ht="23.4">
      <c r="A2" s="191" t="s">
        <v>787</v>
      </c>
      <c r="B2" s="192">
        <v>4</v>
      </c>
      <c r="C2" s="166"/>
      <c r="D2" s="139">
        <v>2</v>
      </c>
      <c r="E2" s="138">
        <f>SQRT((D2-4)^2)</f>
        <v>2</v>
      </c>
      <c r="F2" s="138">
        <f>SQRT((D2-11)^2)</f>
        <v>9</v>
      </c>
      <c r="G2" s="149" t="str">
        <f>IF(E2&lt;F2,"C1","C2")</f>
        <v>C1</v>
      </c>
      <c r="H2" s="172">
        <f>D2</f>
        <v>2</v>
      </c>
      <c r="I2" s="193"/>
    </row>
    <row r="3" spans="1:14" ht="23.4">
      <c r="A3" s="191" t="s">
        <v>788</v>
      </c>
      <c r="B3" s="192">
        <v>11</v>
      </c>
      <c r="C3" s="166"/>
      <c r="D3" s="143">
        <v>4</v>
      </c>
      <c r="E3" s="138">
        <f t="shared" ref="E3:E9" si="0">SQRT((D3-4)^2)</f>
        <v>0</v>
      </c>
      <c r="F3" s="138">
        <f t="shared" ref="F3:F10" si="1">SQRT((D3-11)^2)</f>
        <v>7</v>
      </c>
      <c r="G3" s="149" t="str">
        <f t="shared" ref="G3:G10" si="2">IF(E3&lt;F3,"C1","C2")</f>
        <v>C1</v>
      </c>
      <c r="H3" s="172">
        <f t="shared" ref="H3:H10" si="3">D3</f>
        <v>4</v>
      </c>
      <c r="I3" s="193"/>
    </row>
    <row r="4" spans="1:14">
      <c r="A4" s="191"/>
      <c r="B4" s="194"/>
      <c r="C4" s="166"/>
      <c r="D4" s="13">
        <v>10</v>
      </c>
      <c r="E4" s="138">
        <f t="shared" si="0"/>
        <v>6</v>
      </c>
      <c r="F4" s="138">
        <f t="shared" si="1"/>
        <v>1</v>
      </c>
      <c r="G4" s="148" t="str">
        <f t="shared" si="2"/>
        <v>C2</v>
      </c>
      <c r="H4" s="166">
        <f t="shared" si="3"/>
        <v>10</v>
      </c>
      <c r="I4" s="193"/>
      <c r="K4" s="154">
        <v>10</v>
      </c>
      <c r="N4" s="153"/>
    </row>
    <row r="5" spans="1:14">
      <c r="A5" s="191"/>
      <c r="B5" s="194"/>
      <c r="C5" s="166"/>
      <c r="D5" s="13">
        <v>12</v>
      </c>
      <c r="E5" s="138">
        <f t="shared" si="0"/>
        <v>8</v>
      </c>
      <c r="F5" s="138">
        <f t="shared" si="1"/>
        <v>1</v>
      </c>
      <c r="G5" s="148" t="str">
        <f t="shared" si="2"/>
        <v>C2</v>
      </c>
      <c r="H5" s="166">
        <f t="shared" si="3"/>
        <v>12</v>
      </c>
      <c r="I5" s="193"/>
      <c r="K5" s="154">
        <v>12</v>
      </c>
    </row>
    <row r="6" spans="1:14" ht="21">
      <c r="A6" s="191"/>
      <c r="B6" s="194"/>
      <c r="C6" s="166"/>
      <c r="D6" s="140">
        <v>3</v>
      </c>
      <c r="E6" s="138">
        <f t="shared" si="0"/>
        <v>1</v>
      </c>
      <c r="F6" s="138">
        <f t="shared" si="1"/>
        <v>8</v>
      </c>
      <c r="G6" s="149" t="str">
        <f>IF(E6&lt;F6,"C1","C2")</f>
        <v>C1</v>
      </c>
      <c r="H6" s="172">
        <f t="shared" si="3"/>
        <v>3</v>
      </c>
      <c r="I6" s="195">
        <f>AVERAGE(H2,H3,H6)</f>
        <v>3</v>
      </c>
      <c r="K6" s="146"/>
    </row>
    <row r="7" spans="1:14">
      <c r="A7" s="191"/>
      <c r="B7" s="194"/>
      <c r="C7" s="166"/>
      <c r="D7" s="13">
        <v>20</v>
      </c>
      <c r="E7" s="138">
        <f t="shared" si="0"/>
        <v>16</v>
      </c>
      <c r="F7" s="138">
        <f t="shared" si="1"/>
        <v>9</v>
      </c>
      <c r="G7" s="148" t="str">
        <f t="shared" si="2"/>
        <v>C2</v>
      </c>
      <c r="H7" s="166">
        <f t="shared" si="3"/>
        <v>20</v>
      </c>
      <c r="I7" s="193"/>
      <c r="K7" s="154">
        <v>20</v>
      </c>
    </row>
    <row r="8" spans="1:14" ht="21">
      <c r="A8" s="191"/>
      <c r="B8" s="194"/>
      <c r="C8" s="196"/>
      <c r="D8" s="13">
        <v>30</v>
      </c>
      <c r="E8" s="138">
        <f t="shared" si="0"/>
        <v>26</v>
      </c>
      <c r="F8" s="138">
        <f t="shared" si="1"/>
        <v>19</v>
      </c>
      <c r="G8" s="148" t="str">
        <f t="shared" si="2"/>
        <v>C2</v>
      </c>
      <c r="H8" s="166">
        <f t="shared" si="3"/>
        <v>30</v>
      </c>
      <c r="I8" s="193"/>
      <c r="K8" s="154">
        <v>30</v>
      </c>
    </row>
    <row r="9" spans="1:14" ht="23.4">
      <c r="A9" s="191"/>
      <c r="B9" s="194"/>
      <c r="C9" s="166"/>
      <c r="D9" s="142">
        <v>11</v>
      </c>
      <c r="E9" s="138">
        <f t="shared" si="0"/>
        <v>7</v>
      </c>
      <c r="F9" s="138">
        <f t="shared" si="1"/>
        <v>0</v>
      </c>
      <c r="G9" s="148" t="str">
        <f t="shared" si="2"/>
        <v>C2</v>
      </c>
      <c r="H9" s="166">
        <f t="shared" si="3"/>
        <v>11</v>
      </c>
      <c r="I9" s="193"/>
      <c r="K9" s="152">
        <v>11</v>
      </c>
    </row>
    <row r="10" spans="1:14" ht="15" thickBot="1">
      <c r="A10" s="80"/>
      <c r="B10" s="81"/>
      <c r="C10" s="167"/>
      <c r="D10" s="197">
        <v>25</v>
      </c>
      <c r="E10" s="198">
        <f>SQRT((D10-4)^2)</f>
        <v>21</v>
      </c>
      <c r="F10" s="198">
        <f t="shared" si="1"/>
        <v>14</v>
      </c>
      <c r="G10" s="199" t="str">
        <f t="shared" si="2"/>
        <v>C2</v>
      </c>
      <c r="H10" s="167">
        <f t="shared" si="3"/>
        <v>25</v>
      </c>
      <c r="I10" s="82"/>
      <c r="K10" s="155">
        <v>25</v>
      </c>
    </row>
    <row r="11" spans="1:14" ht="21.6" thickBot="1">
      <c r="K11" s="157">
        <f>AVERAGE(K2:K10)</f>
        <v>18</v>
      </c>
    </row>
    <row r="13" spans="1:14" ht="40.200000000000003">
      <c r="A13" s="206" t="s">
        <v>793</v>
      </c>
      <c r="B13" s="206"/>
      <c r="C13" s="41"/>
      <c r="D13" s="145" t="s">
        <v>783</v>
      </c>
      <c r="E13" s="137" t="s">
        <v>790</v>
      </c>
      <c r="F13" s="137" t="s">
        <v>789</v>
      </c>
      <c r="G13" s="145" t="s">
        <v>785</v>
      </c>
      <c r="H13" s="136" t="s">
        <v>784</v>
      </c>
    </row>
    <row r="14" spans="1:14" ht="21">
      <c r="A14" t="s">
        <v>787</v>
      </c>
      <c r="B14" s="151" t="s">
        <v>791</v>
      </c>
      <c r="C14" s="144">
        <f>I6</f>
        <v>3</v>
      </c>
      <c r="D14" s="139">
        <v>2</v>
      </c>
      <c r="E14" s="138">
        <f>SQRT((D14-3)^2)</f>
        <v>1</v>
      </c>
      <c r="F14" s="138">
        <f>SQRT((D14-18)^2)</f>
        <v>16</v>
      </c>
      <c r="G14" s="146" t="str">
        <f>IF(E14&lt;F14,"C1","C2")</f>
        <v>C1</v>
      </c>
      <c r="H14" s="147" t="s">
        <v>794</v>
      </c>
      <c r="M14" s="139">
        <v>2</v>
      </c>
    </row>
    <row r="15" spans="1:14" ht="23.4">
      <c r="A15" t="s">
        <v>788</v>
      </c>
      <c r="B15" t="s">
        <v>792</v>
      </c>
      <c r="C15" s="156">
        <f>K11</f>
        <v>18</v>
      </c>
      <c r="D15" s="143">
        <v>4</v>
      </c>
      <c r="E15" s="138">
        <f>SQRT((D15-3)^2)</f>
        <v>1</v>
      </c>
      <c r="F15" s="138">
        <f t="shared" ref="F15:F22" si="4">SQRT((D15-18)^2)</f>
        <v>14</v>
      </c>
      <c r="G15" s="146" t="str">
        <f t="shared" ref="G15:G22" si="5">IF(E15&lt;F15,"C1","C2")</f>
        <v>C1</v>
      </c>
      <c r="H15" s="147" t="s">
        <v>794</v>
      </c>
      <c r="M15" s="143">
        <v>4</v>
      </c>
    </row>
    <row r="16" spans="1:14">
      <c r="D16" s="13">
        <v>10</v>
      </c>
      <c r="E16" s="138">
        <f t="shared" ref="E16:E22" si="6">SQRT((D16-3)^2)</f>
        <v>7</v>
      </c>
      <c r="F16" s="138">
        <f t="shared" si="4"/>
        <v>8</v>
      </c>
      <c r="G16" s="146" t="str">
        <f>IF(E16&lt;F16,"C1","C2")</f>
        <v>C1</v>
      </c>
      <c r="H16" s="147" t="s">
        <v>795</v>
      </c>
      <c r="M16" s="13">
        <v>10</v>
      </c>
    </row>
    <row r="17" spans="1:13">
      <c r="D17" s="13">
        <v>12</v>
      </c>
      <c r="E17" s="138">
        <f t="shared" si="6"/>
        <v>9</v>
      </c>
      <c r="F17" s="138">
        <f t="shared" si="4"/>
        <v>6</v>
      </c>
      <c r="G17" s="146" t="str">
        <f t="shared" si="5"/>
        <v>C2</v>
      </c>
      <c r="H17" s="147" t="s">
        <v>795</v>
      </c>
      <c r="K17" s="13">
        <v>12</v>
      </c>
    </row>
    <row r="18" spans="1:13">
      <c r="D18" s="140">
        <v>3</v>
      </c>
      <c r="E18" s="138">
        <f t="shared" si="6"/>
        <v>0</v>
      </c>
      <c r="F18" s="138">
        <f t="shared" si="4"/>
        <v>15</v>
      </c>
      <c r="G18" s="146" t="str">
        <f t="shared" si="5"/>
        <v>C1</v>
      </c>
      <c r="H18" s="147" t="s">
        <v>794</v>
      </c>
      <c r="M18" s="140">
        <v>3</v>
      </c>
    </row>
    <row r="19" spans="1:13">
      <c r="D19" s="13">
        <v>20</v>
      </c>
      <c r="E19" s="138">
        <f t="shared" si="6"/>
        <v>17</v>
      </c>
      <c r="F19" s="138">
        <f t="shared" si="4"/>
        <v>2</v>
      </c>
      <c r="G19" s="146" t="str">
        <f t="shared" si="5"/>
        <v>C2</v>
      </c>
      <c r="H19" s="147" t="s">
        <v>795</v>
      </c>
      <c r="K19" s="13">
        <v>20</v>
      </c>
    </row>
    <row r="20" spans="1:13">
      <c r="D20" s="13">
        <v>30</v>
      </c>
      <c r="E20" s="138">
        <f t="shared" si="6"/>
        <v>27</v>
      </c>
      <c r="F20" s="138">
        <f t="shared" si="4"/>
        <v>12</v>
      </c>
      <c r="G20" s="146" t="str">
        <f t="shared" si="5"/>
        <v>C2</v>
      </c>
      <c r="H20" s="147" t="s">
        <v>795</v>
      </c>
      <c r="K20" s="13">
        <v>30</v>
      </c>
    </row>
    <row r="21" spans="1:13" ht="23.4">
      <c r="D21" s="142">
        <v>11</v>
      </c>
      <c r="E21" s="138">
        <f t="shared" si="6"/>
        <v>8</v>
      </c>
      <c r="F21" s="138">
        <f t="shared" si="4"/>
        <v>7</v>
      </c>
      <c r="G21" s="146" t="str">
        <f t="shared" si="5"/>
        <v>C2</v>
      </c>
      <c r="H21" s="147" t="s">
        <v>795</v>
      </c>
      <c r="K21" s="142">
        <v>11</v>
      </c>
    </row>
    <row r="22" spans="1:13">
      <c r="D22" s="13">
        <v>25</v>
      </c>
      <c r="E22" s="138">
        <f t="shared" si="6"/>
        <v>22</v>
      </c>
      <c r="F22" s="138">
        <f t="shared" si="4"/>
        <v>7</v>
      </c>
      <c r="G22" s="146" t="str">
        <f t="shared" si="5"/>
        <v>C2</v>
      </c>
      <c r="H22" s="147" t="s">
        <v>795</v>
      </c>
      <c r="K22" s="13">
        <v>25</v>
      </c>
    </row>
    <row r="23" spans="1:13" ht="21">
      <c r="K23" s="141">
        <f>AVERAGE(K14:K22)</f>
        <v>19.600000000000001</v>
      </c>
      <c r="M23" s="141">
        <f>AVERAGE(M14:M22)</f>
        <v>4.75</v>
      </c>
    </row>
    <row r="24" spans="1:13" ht="40.200000000000003">
      <c r="A24" s="206" t="s">
        <v>793</v>
      </c>
      <c r="B24" s="206"/>
      <c r="C24" s="41"/>
      <c r="D24" s="145" t="s">
        <v>783</v>
      </c>
      <c r="E24" s="137" t="s">
        <v>790</v>
      </c>
      <c r="F24" s="137" t="s">
        <v>789</v>
      </c>
      <c r="G24" s="145" t="s">
        <v>785</v>
      </c>
      <c r="H24" s="136" t="s">
        <v>784</v>
      </c>
    </row>
    <row r="25" spans="1:13" ht="21">
      <c r="A25" t="s">
        <v>787</v>
      </c>
      <c r="B25" t="s">
        <v>796</v>
      </c>
      <c r="C25" s="144">
        <f>M23</f>
        <v>4.75</v>
      </c>
      <c r="D25" s="139">
        <v>2</v>
      </c>
      <c r="E25" s="138">
        <f>SQRT((D25-4.75)^2)</f>
        <v>2.75</v>
      </c>
      <c r="F25" s="138">
        <f>SQRT((D25-19.6)^2)</f>
        <v>17.600000000000001</v>
      </c>
      <c r="G25" s="146" t="str">
        <f>IF(E25&lt;F25,"C1","C2")</f>
        <v>C1</v>
      </c>
      <c r="H25" s="147" t="s">
        <v>794</v>
      </c>
      <c r="K25" s="139">
        <v>2</v>
      </c>
    </row>
    <row r="26" spans="1:13" ht="23.4">
      <c r="A26" t="s">
        <v>788</v>
      </c>
      <c r="B26" t="s">
        <v>792</v>
      </c>
      <c r="C26" s="144">
        <f>K23</f>
        <v>19.600000000000001</v>
      </c>
      <c r="D26" s="143">
        <v>4</v>
      </c>
      <c r="E26" s="138">
        <f t="shared" ref="E26:E33" si="7">SQRT((D26-4.75)^2)</f>
        <v>0.75</v>
      </c>
      <c r="F26" s="138">
        <f t="shared" ref="F26:F33" si="8">SQRT((D26-19.6)^2)</f>
        <v>15.600000000000001</v>
      </c>
      <c r="G26" s="146" t="str">
        <f t="shared" ref="G26" si="9">IF(E26&lt;F26,"C1","C2")</f>
        <v>C1</v>
      </c>
      <c r="H26" s="147" t="s">
        <v>794</v>
      </c>
      <c r="K26" s="143">
        <v>4</v>
      </c>
    </row>
    <row r="27" spans="1:13">
      <c r="D27" s="13">
        <v>10</v>
      </c>
      <c r="E27" s="138">
        <f t="shared" si="7"/>
        <v>5.25</v>
      </c>
      <c r="F27" s="138">
        <f t="shared" si="8"/>
        <v>9.6000000000000014</v>
      </c>
      <c r="G27" s="146" t="str">
        <f>IF(E27&lt;F27,"C1","C2")</f>
        <v>C1</v>
      </c>
      <c r="H27" s="147" t="s">
        <v>794</v>
      </c>
      <c r="K27" s="13">
        <v>10</v>
      </c>
    </row>
    <row r="28" spans="1:13">
      <c r="D28" s="13">
        <v>12</v>
      </c>
      <c r="E28" s="138">
        <f t="shared" si="7"/>
        <v>7.25</v>
      </c>
      <c r="F28" s="138">
        <f t="shared" si="8"/>
        <v>7.6000000000000014</v>
      </c>
      <c r="G28" s="146" t="str">
        <f t="shared" ref="G28:G33" si="10">IF(E28&lt;F28,"C1","C2")</f>
        <v>C1</v>
      </c>
      <c r="H28" s="147" t="s">
        <v>795</v>
      </c>
      <c r="K28" s="13">
        <v>12</v>
      </c>
    </row>
    <row r="29" spans="1:13">
      <c r="D29" s="140">
        <v>3</v>
      </c>
      <c r="E29" s="138">
        <f t="shared" si="7"/>
        <v>1.75</v>
      </c>
      <c r="F29" s="138">
        <f t="shared" si="8"/>
        <v>16.600000000000001</v>
      </c>
      <c r="G29" s="146" t="str">
        <f t="shared" si="10"/>
        <v>C1</v>
      </c>
      <c r="H29" s="147" t="s">
        <v>794</v>
      </c>
      <c r="K29" s="140">
        <v>3</v>
      </c>
    </row>
    <row r="30" spans="1:13">
      <c r="D30" s="13">
        <v>20</v>
      </c>
      <c r="E30" s="138">
        <f t="shared" si="7"/>
        <v>15.25</v>
      </c>
      <c r="F30" s="138">
        <f t="shared" si="8"/>
        <v>0.39999999999999858</v>
      </c>
      <c r="G30" s="146" t="str">
        <f t="shared" si="10"/>
        <v>C2</v>
      </c>
      <c r="H30" s="147" t="s">
        <v>795</v>
      </c>
      <c r="K30" s="13"/>
      <c r="M30" s="13">
        <v>20</v>
      </c>
    </row>
    <row r="31" spans="1:13">
      <c r="D31" s="13">
        <v>30</v>
      </c>
      <c r="E31" s="138">
        <f t="shared" si="7"/>
        <v>25.25</v>
      </c>
      <c r="F31" s="138">
        <f t="shared" si="8"/>
        <v>10.399999999999999</v>
      </c>
      <c r="G31" s="146" t="str">
        <f t="shared" si="10"/>
        <v>C2</v>
      </c>
      <c r="H31" s="147" t="s">
        <v>795</v>
      </c>
      <c r="K31" s="13"/>
      <c r="M31" s="13">
        <v>30</v>
      </c>
    </row>
    <row r="32" spans="1:13" ht="23.4">
      <c r="D32" s="142">
        <v>11</v>
      </c>
      <c r="E32" s="138">
        <f t="shared" si="7"/>
        <v>6.25</v>
      </c>
      <c r="F32" s="138">
        <f t="shared" si="8"/>
        <v>8.6000000000000014</v>
      </c>
      <c r="G32" s="146" t="str">
        <f t="shared" si="10"/>
        <v>C1</v>
      </c>
      <c r="H32" s="147" t="s">
        <v>795</v>
      </c>
      <c r="K32" s="142">
        <v>11</v>
      </c>
      <c r="M32" s="13">
        <v>25</v>
      </c>
    </row>
    <row r="33" spans="1:13">
      <c r="D33" s="13">
        <v>25</v>
      </c>
      <c r="E33" s="138">
        <f t="shared" si="7"/>
        <v>20.25</v>
      </c>
      <c r="F33" s="138">
        <f t="shared" si="8"/>
        <v>5.3999999999999986</v>
      </c>
      <c r="G33" s="146" t="str">
        <f t="shared" si="10"/>
        <v>C2</v>
      </c>
      <c r="H33" s="147" t="s">
        <v>795</v>
      </c>
      <c r="K33" s="13"/>
    </row>
    <row r="34" spans="1:13" ht="21">
      <c r="K34" s="141">
        <f>AVERAGE(K25:K33)</f>
        <v>7</v>
      </c>
      <c r="M34" s="141">
        <f>AVERAGE(M25:M33)</f>
        <v>25</v>
      </c>
    </row>
    <row r="36" spans="1:13" ht="21">
      <c r="A36" s="206" t="s">
        <v>793</v>
      </c>
      <c r="B36" s="206"/>
      <c r="C36" s="41"/>
    </row>
    <row r="37" spans="1:13" ht="21">
      <c r="A37" t="s">
        <v>787</v>
      </c>
      <c r="B37" t="s">
        <v>792</v>
      </c>
      <c r="C37" s="144">
        <f>K34</f>
        <v>7</v>
      </c>
    </row>
    <row r="38" spans="1:13" ht="21">
      <c r="A38" t="s">
        <v>788</v>
      </c>
      <c r="B38" t="s">
        <v>797</v>
      </c>
      <c r="C38" s="144">
        <f>M34</f>
        <v>25</v>
      </c>
    </row>
  </sheetData>
  <mergeCells count="3">
    <mergeCell ref="A13:B13"/>
    <mergeCell ref="A24:B24"/>
    <mergeCell ref="A36:B36"/>
  </mergeCells>
  <pageMargins left="0.7" right="0.7" top="0.75" bottom="0.75" header="0.3" footer="0.3"/>
  <pageSetup orientation="portrait" horizontalDpi="4294967294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64"/>
  <sheetViews>
    <sheetView topLeftCell="A7" workbookViewId="0">
      <selection activeCell="J10" sqref="J10:Q10"/>
    </sheetView>
  </sheetViews>
  <sheetFormatPr defaultRowHeight="14.4"/>
  <cols>
    <col min="1" max="1" width="3.6640625" customWidth="1"/>
    <col min="11" max="11" width="12.33203125" customWidth="1"/>
  </cols>
  <sheetData>
    <row r="1" spans="1:17">
      <c r="B1" s="158" t="s">
        <v>800</v>
      </c>
      <c r="C1" s="158" t="s">
        <v>801</v>
      </c>
      <c r="D1" s="158" t="s">
        <v>794</v>
      </c>
      <c r="E1" s="158" t="s">
        <v>795</v>
      </c>
      <c r="F1" s="159" t="s">
        <v>784</v>
      </c>
      <c r="J1" t="s">
        <v>813</v>
      </c>
    </row>
    <row r="2" spans="1:17">
      <c r="B2" s="158">
        <v>2</v>
      </c>
      <c r="C2" s="158">
        <v>6</v>
      </c>
      <c r="D2" s="163">
        <f>ABS(B2-$B$14)+ABS(C2-$C$14)</f>
        <v>3</v>
      </c>
      <c r="E2" s="162">
        <f>ABS(B2-$E$14)+ABS(C2-$F$14)</f>
        <v>7</v>
      </c>
      <c r="F2" s="13" t="str">
        <f>IF(D2&lt;E2,"C1","C2")</f>
        <v>C1</v>
      </c>
      <c r="J2" t="s">
        <v>814</v>
      </c>
    </row>
    <row r="3" spans="1:17">
      <c r="B3" s="158">
        <v>3</v>
      </c>
      <c r="C3" s="158">
        <v>4</v>
      </c>
      <c r="D3" s="163">
        <f t="shared" ref="D3:D11" si="0">ABS(B3-$B$14)+ABS(C3-$C$14)</f>
        <v>0</v>
      </c>
      <c r="E3" s="162">
        <f t="shared" ref="E3:E11" si="1">ABS(B3-$E$14)+ABS(C3-$F$14)</f>
        <v>4</v>
      </c>
      <c r="F3" s="13" t="str">
        <f t="shared" ref="F3:F11" si="2">IF(D3&lt;E3,"C1","C2")</f>
        <v>C1</v>
      </c>
    </row>
    <row r="4" spans="1:17" ht="23.4">
      <c r="B4" s="158">
        <v>3</v>
      </c>
      <c r="C4" s="158">
        <v>8</v>
      </c>
      <c r="D4" s="163">
        <f t="shared" si="0"/>
        <v>4</v>
      </c>
      <c r="E4" s="162">
        <f t="shared" si="1"/>
        <v>8</v>
      </c>
      <c r="F4" s="13" t="str">
        <f t="shared" si="2"/>
        <v>C1</v>
      </c>
      <c r="J4" s="200" t="s">
        <v>921</v>
      </c>
    </row>
    <row r="5" spans="1:17">
      <c r="B5" s="158">
        <v>4</v>
      </c>
      <c r="C5" s="158">
        <v>7</v>
      </c>
      <c r="D5" s="163">
        <f t="shared" si="0"/>
        <v>4</v>
      </c>
      <c r="E5" s="162">
        <f t="shared" si="1"/>
        <v>6</v>
      </c>
      <c r="F5" s="13" t="str">
        <f t="shared" si="2"/>
        <v>C1</v>
      </c>
    </row>
    <row r="6" spans="1:17">
      <c r="B6" s="164">
        <v>6</v>
      </c>
      <c r="C6" s="164">
        <v>2</v>
      </c>
      <c r="D6" s="163">
        <f t="shared" si="0"/>
        <v>5</v>
      </c>
      <c r="E6" s="162">
        <f t="shared" si="1"/>
        <v>3</v>
      </c>
      <c r="F6" s="165" t="str">
        <f t="shared" si="2"/>
        <v>C2</v>
      </c>
      <c r="J6" s="1" t="s">
        <v>815</v>
      </c>
    </row>
    <row r="7" spans="1:17">
      <c r="B7" s="164">
        <v>6</v>
      </c>
      <c r="C7" s="164">
        <v>4</v>
      </c>
      <c r="D7" s="163">
        <f t="shared" si="0"/>
        <v>3</v>
      </c>
      <c r="E7" s="162">
        <f t="shared" si="1"/>
        <v>1</v>
      </c>
      <c r="F7" s="165" t="str">
        <f t="shared" si="2"/>
        <v>C2</v>
      </c>
    </row>
    <row r="8" spans="1:17">
      <c r="B8" s="164">
        <v>7</v>
      </c>
      <c r="C8" s="164">
        <v>3</v>
      </c>
      <c r="D8" s="163">
        <f t="shared" si="0"/>
        <v>5</v>
      </c>
      <c r="E8" s="162">
        <f t="shared" si="1"/>
        <v>1</v>
      </c>
      <c r="F8" s="165" t="str">
        <f t="shared" si="2"/>
        <v>C2</v>
      </c>
      <c r="J8" s="1" t="s">
        <v>816</v>
      </c>
    </row>
    <row r="9" spans="1:17">
      <c r="B9" s="164">
        <v>7</v>
      </c>
      <c r="C9" s="164">
        <v>4</v>
      </c>
      <c r="D9" s="163">
        <f t="shared" si="0"/>
        <v>4</v>
      </c>
      <c r="E9" s="162">
        <f t="shared" si="1"/>
        <v>0</v>
      </c>
      <c r="F9" s="165" t="str">
        <f t="shared" si="2"/>
        <v>C2</v>
      </c>
    </row>
    <row r="10" spans="1:17" ht="18">
      <c r="B10" s="164">
        <v>8</v>
      </c>
      <c r="C10" s="164">
        <v>5</v>
      </c>
      <c r="D10" s="163">
        <f t="shared" si="0"/>
        <v>6</v>
      </c>
      <c r="E10" s="162">
        <f t="shared" si="1"/>
        <v>2</v>
      </c>
      <c r="F10" s="165" t="str">
        <f t="shared" si="2"/>
        <v>C2</v>
      </c>
      <c r="J10" s="234" t="s">
        <v>817</v>
      </c>
      <c r="K10" s="235"/>
      <c r="L10" s="235"/>
      <c r="M10" s="235" t="s">
        <v>923</v>
      </c>
      <c r="N10" s="235"/>
      <c r="O10" s="235"/>
      <c r="P10" s="235"/>
      <c r="Q10" s="235"/>
    </row>
    <row r="11" spans="1:17">
      <c r="B11" s="164">
        <v>7</v>
      </c>
      <c r="C11" s="164">
        <v>6</v>
      </c>
      <c r="D11" s="163">
        <f t="shared" si="0"/>
        <v>6</v>
      </c>
      <c r="E11" s="162">
        <f t="shared" si="1"/>
        <v>2</v>
      </c>
      <c r="F11" s="165" t="str">
        <f t="shared" si="2"/>
        <v>C2</v>
      </c>
      <c r="J11" s="1"/>
      <c r="K11" s="1"/>
      <c r="L11" s="1"/>
      <c r="M11" s="1"/>
      <c r="N11" s="1"/>
      <c r="O11" s="1"/>
      <c r="P11" s="1"/>
      <c r="Q11" s="1"/>
    </row>
    <row r="12" spans="1:17" ht="28.8">
      <c r="J12" s="5" t="s">
        <v>818</v>
      </c>
      <c r="K12" s="5" t="s">
        <v>819</v>
      </c>
      <c r="L12" s="5" t="s">
        <v>820</v>
      </c>
      <c r="M12" s="5" t="s">
        <v>821</v>
      </c>
      <c r="N12" s="5" t="s">
        <v>784</v>
      </c>
      <c r="P12" s="232" t="s">
        <v>895</v>
      </c>
    </row>
    <row r="13" spans="1:17">
      <c r="J13" s="226" t="s">
        <v>812</v>
      </c>
      <c r="K13" s="2">
        <v>0</v>
      </c>
      <c r="L13" s="2">
        <v>3.61</v>
      </c>
      <c r="M13" s="2">
        <v>8.06</v>
      </c>
      <c r="N13" s="3">
        <v>1</v>
      </c>
    </row>
    <row r="14" spans="1:17">
      <c r="A14" s="160" t="s">
        <v>794</v>
      </c>
      <c r="B14" s="161">
        <v>3</v>
      </c>
      <c r="C14" s="161">
        <v>4</v>
      </c>
      <c r="D14" s="151" t="s">
        <v>795</v>
      </c>
      <c r="E14" s="150">
        <v>7</v>
      </c>
      <c r="F14" s="150">
        <v>4</v>
      </c>
      <c r="J14" s="226" t="s">
        <v>822</v>
      </c>
      <c r="K14" s="2">
        <v>5</v>
      </c>
      <c r="L14" s="2">
        <v>4.24</v>
      </c>
      <c r="M14" s="2">
        <v>3.16</v>
      </c>
      <c r="N14" s="3">
        <v>3</v>
      </c>
    </row>
    <row r="15" spans="1:17">
      <c r="J15" s="226" t="s">
        <v>823</v>
      </c>
      <c r="K15" s="2">
        <v>8.49</v>
      </c>
      <c r="L15" s="2">
        <v>5</v>
      </c>
      <c r="M15" s="2">
        <v>7.28</v>
      </c>
      <c r="N15" s="3">
        <v>2</v>
      </c>
    </row>
    <row r="16" spans="1:17">
      <c r="J16" s="227" t="s">
        <v>809</v>
      </c>
      <c r="K16" s="2">
        <v>3.61</v>
      </c>
      <c r="L16" s="2">
        <v>0</v>
      </c>
      <c r="M16" s="2">
        <v>7.21</v>
      </c>
      <c r="N16" s="3">
        <v>2</v>
      </c>
    </row>
    <row r="17" spans="8:22">
      <c r="J17" s="227" t="s">
        <v>824</v>
      </c>
      <c r="K17" s="2">
        <v>7.07</v>
      </c>
      <c r="L17" s="2">
        <v>3.61</v>
      </c>
      <c r="M17" s="2">
        <v>6.71</v>
      </c>
      <c r="N17" s="3">
        <v>2</v>
      </c>
    </row>
    <row r="18" spans="8:22">
      <c r="J18" s="227" t="s">
        <v>825</v>
      </c>
      <c r="K18" s="2">
        <v>7.21</v>
      </c>
      <c r="L18" s="2">
        <v>4.12</v>
      </c>
      <c r="M18" s="2">
        <v>5.39</v>
      </c>
      <c r="N18" s="3">
        <v>2</v>
      </c>
    </row>
    <row r="19" spans="8:22">
      <c r="J19" s="228" t="s">
        <v>810</v>
      </c>
      <c r="K19" s="2">
        <v>8.06</v>
      </c>
      <c r="L19" s="2">
        <v>7.21</v>
      </c>
      <c r="M19" s="2">
        <v>0</v>
      </c>
      <c r="N19" s="3">
        <v>3</v>
      </c>
    </row>
    <row r="20" spans="8:22">
      <c r="J20" s="228" t="s">
        <v>826</v>
      </c>
      <c r="K20" s="2">
        <v>2.2400000000000002</v>
      </c>
      <c r="L20" s="2">
        <v>1.41</v>
      </c>
      <c r="M20" s="2">
        <v>7.62</v>
      </c>
      <c r="N20" s="3">
        <v>2</v>
      </c>
    </row>
    <row r="22" spans="8:22" ht="23.4">
      <c r="J22" s="1" t="s">
        <v>922</v>
      </c>
    </row>
    <row r="23" spans="8:22"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</row>
    <row r="24" spans="8:22" ht="18">
      <c r="J24" s="230" t="s">
        <v>827</v>
      </c>
      <c r="K24" s="231"/>
      <c r="L24" s="231"/>
      <c r="M24" s="231"/>
      <c r="N24" s="231"/>
    </row>
    <row r="26" spans="8:22" ht="28.8">
      <c r="J26" s="5" t="s">
        <v>818</v>
      </c>
      <c r="K26" s="5" t="s">
        <v>819</v>
      </c>
      <c r="L26" s="5" t="s">
        <v>828</v>
      </c>
      <c r="M26" s="5" t="s">
        <v>829</v>
      </c>
      <c r="N26" s="5" t="s">
        <v>784</v>
      </c>
    </row>
    <row r="27" spans="8:22">
      <c r="J27" s="2" t="s">
        <v>802</v>
      </c>
      <c r="K27" s="2">
        <v>0</v>
      </c>
      <c r="L27" s="2">
        <v>5.66</v>
      </c>
      <c r="M27" s="2">
        <v>6.52</v>
      </c>
      <c r="N27" s="3">
        <v>1</v>
      </c>
    </row>
    <row r="28" spans="8:22">
      <c r="J28" s="2" t="s">
        <v>803</v>
      </c>
      <c r="K28" s="2">
        <v>5</v>
      </c>
      <c r="L28" s="2">
        <v>4.12</v>
      </c>
      <c r="M28" s="2">
        <v>1.58</v>
      </c>
      <c r="N28" s="3">
        <v>3</v>
      </c>
    </row>
    <row r="29" spans="8:22">
      <c r="J29" s="2" t="s">
        <v>804</v>
      </c>
      <c r="K29" s="2">
        <v>8.49</v>
      </c>
      <c r="L29" s="2">
        <v>2.83</v>
      </c>
      <c r="M29" s="2">
        <v>6.52</v>
      </c>
      <c r="N29" s="3">
        <v>2</v>
      </c>
    </row>
    <row r="30" spans="8:22">
      <c r="J30" s="2" t="s">
        <v>805</v>
      </c>
      <c r="K30" s="2">
        <v>3.61</v>
      </c>
      <c r="L30" s="2">
        <v>2.2400000000000002</v>
      </c>
      <c r="M30" s="2">
        <v>5.7</v>
      </c>
      <c r="N30" s="3">
        <v>2</v>
      </c>
    </row>
    <row r="31" spans="8:22">
      <c r="J31" s="2" t="s">
        <v>806</v>
      </c>
      <c r="K31" s="2">
        <v>7.07</v>
      </c>
      <c r="L31" s="2">
        <v>1.41</v>
      </c>
      <c r="M31" s="2">
        <v>5.7</v>
      </c>
      <c r="N31" s="3">
        <v>2</v>
      </c>
    </row>
    <row r="32" spans="8:22">
      <c r="J32" s="2" t="s">
        <v>807</v>
      </c>
      <c r="K32" s="2">
        <v>7.21</v>
      </c>
      <c r="L32" s="2">
        <v>2</v>
      </c>
      <c r="M32" s="2">
        <v>4.53</v>
      </c>
      <c r="N32" s="3">
        <v>2</v>
      </c>
    </row>
    <row r="33" spans="10:14">
      <c r="J33" s="2" t="s">
        <v>794</v>
      </c>
      <c r="K33" s="2">
        <v>8.06</v>
      </c>
      <c r="L33" s="2">
        <v>6.4</v>
      </c>
      <c r="M33" s="2">
        <v>1.58</v>
      </c>
      <c r="N33" s="3">
        <v>3</v>
      </c>
    </row>
    <row r="34" spans="10:14" ht="28.8">
      <c r="J34" s="2" t="s">
        <v>795</v>
      </c>
      <c r="K34" s="2">
        <v>2.2400000000000002</v>
      </c>
      <c r="L34" s="2">
        <v>3.61</v>
      </c>
      <c r="M34" s="2">
        <v>6.04</v>
      </c>
      <c r="N34" s="3" t="s">
        <v>830</v>
      </c>
    </row>
    <row r="36" spans="10:14">
      <c r="J36" s="1" t="s">
        <v>831</v>
      </c>
    </row>
    <row r="38" spans="10:14" ht="18">
      <c r="J38" s="201" t="s">
        <v>832</v>
      </c>
    </row>
    <row r="40" spans="10:14" ht="28.8">
      <c r="J40" s="5" t="s">
        <v>818</v>
      </c>
      <c r="K40" s="5" t="s">
        <v>833</v>
      </c>
      <c r="L40" s="5" t="s">
        <v>834</v>
      </c>
      <c r="M40" s="5" t="s">
        <v>829</v>
      </c>
      <c r="N40" s="5" t="s">
        <v>784</v>
      </c>
    </row>
    <row r="41" spans="10:14">
      <c r="J41" s="2" t="s">
        <v>802</v>
      </c>
      <c r="K41" s="2">
        <v>1.1200000000000001</v>
      </c>
      <c r="L41" s="2">
        <v>6.54</v>
      </c>
      <c r="M41" s="2">
        <v>6.52</v>
      </c>
      <c r="N41" s="3">
        <v>1</v>
      </c>
    </row>
    <row r="42" spans="10:14">
      <c r="J42" s="2" t="s">
        <v>803</v>
      </c>
      <c r="K42" s="2">
        <v>4.6100000000000003</v>
      </c>
      <c r="L42" s="2">
        <v>4.51</v>
      </c>
      <c r="M42" s="2">
        <v>1.58</v>
      </c>
      <c r="N42" s="3">
        <v>3</v>
      </c>
    </row>
    <row r="43" spans="10:14">
      <c r="J43" s="2" t="s">
        <v>804</v>
      </c>
      <c r="K43" s="2">
        <v>7.43</v>
      </c>
      <c r="L43" s="2">
        <v>1.95</v>
      </c>
      <c r="M43" s="2">
        <v>6.52</v>
      </c>
      <c r="N43" s="3">
        <v>2</v>
      </c>
    </row>
    <row r="44" spans="10:14" ht="28.8">
      <c r="J44" s="2" t="s">
        <v>805</v>
      </c>
      <c r="K44" s="2">
        <v>2.5</v>
      </c>
      <c r="L44" s="2">
        <v>3.13</v>
      </c>
      <c r="M44" s="2">
        <v>5.7</v>
      </c>
      <c r="N44" s="3" t="s">
        <v>830</v>
      </c>
    </row>
    <row r="45" spans="10:14">
      <c r="J45" s="2" t="s">
        <v>806</v>
      </c>
      <c r="K45" s="2">
        <v>6.02</v>
      </c>
      <c r="L45" s="2">
        <v>0.56000000000000005</v>
      </c>
      <c r="M45" s="2">
        <v>5.7</v>
      </c>
      <c r="N45" s="3">
        <v>2</v>
      </c>
    </row>
    <row r="46" spans="10:14">
      <c r="J46" s="2" t="s">
        <v>807</v>
      </c>
      <c r="K46" s="2">
        <v>6.27</v>
      </c>
      <c r="L46" s="2">
        <v>1.35</v>
      </c>
      <c r="M46" s="2">
        <v>4.53</v>
      </c>
      <c r="N46" s="3">
        <v>2</v>
      </c>
    </row>
    <row r="47" spans="10:14">
      <c r="J47" s="2" t="s">
        <v>794</v>
      </c>
      <c r="K47" s="2">
        <v>7.76</v>
      </c>
      <c r="L47" s="2">
        <v>6.39</v>
      </c>
      <c r="M47" s="2">
        <v>1.58</v>
      </c>
      <c r="N47" s="3">
        <v>3</v>
      </c>
    </row>
    <row r="48" spans="10:14">
      <c r="J48" s="2" t="s">
        <v>795</v>
      </c>
      <c r="K48" s="2">
        <v>1.1200000000000001</v>
      </c>
      <c r="L48" s="2">
        <v>4.51</v>
      </c>
      <c r="M48" s="2">
        <v>6.04</v>
      </c>
      <c r="N48" s="3">
        <v>1</v>
      </c>
    </row>
    <row r="50" spans="10:14">
      <c r="J50" s="1" t="s">
        <v>835</v>
      </c>
    </row>
    <row r="52" spans="10:14" ht="18">
      <c r="J52" s="201" t="s">
        <v>836</v>
      </c>
    </row>
    <row r="54" spans="10:14" ht="28.8">
      <c r="J54" s="5" t="s">
        <v>818</v>
      </c>
      <c r="K54" s="5" t="s">
        <v>837</v>
      </c>
      <c r="L54" s="5" t="s">
        <v>838</v>
      </c>
      <c r="M54" s="5" t="s">
        <v>829</v>
      </c>
      <c r="N54" s="5" t="s">
        <v>784</v>
      </c>
    </row>
    <row r="55" spans="10:14">
      <c r="J55" s="2" t="s">
        <v>802</v>
      </c>
      <c r="K55" s="2">
        <v>1.94</v>
      </c>
      <c r="L55" s="2">
        <v>7.56</v>
      </c>
      <c r="M55" s="2">
        <v>6.52</v>
      </c>
      <c r="N55" s="3">
        <v>1</v>
      </c>
    </row>
    <row r="56" spans="10:14">
      <c r="J56" s="2" t="s">
        <v>803</v>
      </c>
      <c r="K56" s="2">
        <v>4.33</v>
      </c>
      <c r="L56" s="2">
        <v>5.04</v>
      </c>
      <c r="M56" s="2">
        <v>1.58</v>
      </c>
      <c r="N56" s="3">
        <v>3</v>
      </c>
    </row>
    <row r="57" spans="10:14">
      <c r="J57" s="2" t="s">
        <v>804</v>
      </c>
      <c r="K57" s="2">
        <v>6.62</v>
      </c>
      <c r="L57" s="2">
        <v>1.05</v>
      </c>
      <c r="M57" s="2">
        <v>6.52</v>
      </c>
      <c r="N57" s="3">
        <v>2</v>
      </c>
    </row>
    <row r="58" spans="10:14">
      <c r="J58" s="2" t="s">
        <v>805</v>
      </c>
      <c r="K58" s="2">
        <v>1.67</v>
      </c>
      <c r="L58" s="2">
        <v>4.18</v>
      </c>
      <c r="M58" s="2">
        <v>5.7</v>
      </c>
      <c r="N58" s="3">
        <v>1</v>
      </c>
    </row>
    <row r="59" spans="10:14">
      <c r="J59" s="2" t="s">
        <v>806</v>
      </c>
      <c r="K59" s="2">
        <v>5.21</v>
      </c>
      <c r="L59" s="2">
        <v>0.67</v>
      </c>
      <c r="M59" s="2">
        <v>5.7</v>
      </c>
      <c r="N59" s="3">
        <v>2</v>
      </c>
    </row>
    <row r="60" spans="10:14">
      <c r="J60" s="2" t="s">
        <v>807</v>
      </c>
      <c r="K60" s="2">
        <v>5.52</v>
      </c>
      <c r="L60" s="2">
        <v>1.05</v>
      </c>
      <c r="M60" s="2">
        <v>4.53</v>
      </c>
      <c r="N60" s="3">
        <v>2</v>
      </c>
    </row>
    <row r="61" spans="10:14">
      <c r="J61" s="2" t="s">
        <v>794</v>
      </c>
      <c r="K61" s="2">
        <v>7.49</v>
      </c>
      <c r="L61" s="2">
        <v>6.44</v>
      </c>
      <c r="M61" s="2">
        <v>1.58</v>
      </c>
      <c r="N61" s="3">
        <v>3</v>
      </c>
    </row>
    <row r="62" spans="10:14">
      <c r="J62" s="2" t="s">
        <v>795</v>
      </c>
      <c r="K62" s="2">
        <v>0.33</v>
      </c>
      <c r="L62" s="2">
        <v>5.55</v>
      </c>
      <c r="M62" s="2">
        <v>6.04</v>
      </c>
      <c r="N62" s="3">
        <v>1</v>
      </c>
    </row>
    <row r="64" spans="10:14">
      <c r="J64" t="s">
        <v>839</v>
      </c>
    </row>
    <row r="66" spans="10:12" ht="18">
      <c r="J66" s="201" t="s">
        <v>840</v>
      </c>
    </row>
    <row r="68" spans="10:12" ht="28.8">
      <c r="J68" s="5" t="s">
        <v>784</v>
      </c>
      <c r="K68" s="5" t="s">
        <v>841</v>
      </c>
      <c r="L68" s="5" t="s">
        <v>842</v>
      </c>
    </row>
    <row r="69" spans="10:12" ht="43.2">
      <c r="J69" s="224">
        <v>1</v>
      </c>
      <c r="K69" s="224" t="s">
        <v>843</v>
      </c>
      <c r="L69" s="225" t="s">
        <v>844</v>
      </c>
    </row>
    <row r="70" spans="10:12" ht="43.2">
      <c r="J70" s="224">
        <v>2</v>
      </c>
      <c r="K70" s="224" t="s">
        <v>845</v>
      </c>
      <c r="L70" s="225" t="s">
        <v>846</v>
      </c>
    </row>
    <row r="71" spans="10:12" ht="28.8">
      <c r="J71" s="224">
        <v>3</v>
      </c>
      <c r="K71" s="224" t="s">
        <v>847</v>
      </c>
      <c r="L71" s="225" t="s">
        <v>848</v>
      </c>
    </row>
    <row r="73" spans="10:12">
      <c r="J73" t="s">
        <v>849</v>
      </c>
    </row>
    <row r="75" spans="10:12">
      <c r="J75" t="s">
        <v>850</v>
      </c>
    </row>
    <row r="77" spans="10:12">
      <c r="J77" t="s">
        <v>851</v>
      </c>
    </row>
    <row r="79" spans="10:12">
      <c r="J79" t="s">
        <v>852</v>
      </c>
    </row>
    <row r="81" spans="10:13">
      <c r="J81" s="1" t="s">
        <v>853</v>
      </c>
    </row>
    <row r="82" spans="10:13">
      <c r="J82" t="s">
        <v>854</v>
      </c>
    </row>
    <row r="83" spans="10:13">
      <c r="J83" t="s">
        <v>855</v>
      </c>
    </row>
    <row r="85" spans="10:13">
      <c r="J85" s="1" t="s">
        <v>856</v>
      </c>
    </row>
    <row r="87" spans="10:13">
      <c r="J87" s="5" t="s">
        <v>801</v>
      </c>
      <c r="K87" s="5" t="s">
        <v>857</v>
      </c>
      <c r="L87" s="5" t="s">
        <v>858</v>
      </c>
      <c r="M87" s="5" t="s">
        <v>784</v>
      </c>
    </row>
    <row r="88" spans="10:13">
      <c r="J88" s="2">
        <v>2</v>
      </c>
      <c r="K88" s="2">
        <v>1</v>
      </c>
      <c r="L88" s="2">
        <v>16</v>
      </c>
      <c r="M88" s="2" t="s">
        <v>794</v>
      </c>
    </row>
    <row r="89" spans="10:13">
      <c r="J89" s="2">
        <v>4</v>
      </c>
      <c r="K89" s="2">
        <v>1</v>
      </c>
      <c r="L89" s="2">
        <v>14</v>
      </c>
      <c r="M89" s="2" t="s">
        <v>794</v>
      </c>
    </row>
    <row r="90" spans="10:13">
      <c r="J90" s="2">
        <v>10</v>
      </c>
      <c r="K90" s="2">
        <v>7</v>
      </c>
      <c r="L90" s="2">
        <v>8</v>
      </c>
      <c r="M90" s="2" t="s">
        <v>794</v>
      </c>
    </row>
    <row r="91" spans="10:13">
      <c r="J91" s="2">
        <v>12</v>
      </c>
      <c r="K91" s="2">
        <v>9</v>
      </c>
      <c r="L91" s="2">
        <v>6</v>
      </c>
      <c r="M91" s="2" t="s">
        <v>795</v>
      </c>
    </row>
    <row r="92" spans="10:13">
      <c r="J92" s="2">
        <v>3</v>
      </c>
      <c r="K92" s="2">
        <v>0</v>
      </c>
      <c r="L92" s="2">
        <v>15</v>
      </c>
      <c r="M92" s="2" t="s">
        <v>794</v>
      </c>
    </row>
    <row r="93" spans="10:13">
      <c r="J93" s="2">
        <v>20</v>
      </c>
      <c r="K93" s="2">
        <v>17</v>
      </c>
      <c r="L93" s="2">
        <v>2</v>
      </c>
      <c r="M93" s="2" t="s">
        <v>795</v>
      </c>
    </row>
    <row r="94" spans="10:13">
      <c r="J94" s="2">
        <v>30</v>
      </c>
      <c r="K94" s="2">
        <v>27</v>
      </c>
      <c r="L94" s="2">
        <v>12</v>
      </c>
      <c r="M94" s="2" t="s">
        <v>795</v>
      </c>
    </row>
    <row r="95" spans="10:13">
      <c r="J95" s="2">
        <v>11</v>
      </c>
      <c r="K95" s="2">
        <v>8</v>
      </c>
      <c r="L95" s="2">
        <v>7</v>
      </c>
      <c r="M95" s="2" t="s">
        <v>795</v>
      </c>
    </row>
    <row r="96" spans="10:13">
      <c r="J96" s="2">
        <v>25</v>
      </c>
      <c r="K96" s="2">
        <v>22</v>
      </c>
      <c r="L96" s="2">
        <v>7</v>
      </c>
      <c r="M96" s="2" t="s">
        <v>795</v>
      </c>
    </row>
    <row r="98" spans="10:13">
      <c r="J98" t="s">
        <v>859</v>
      </c>
    </row>
    <row r="99" spans="10:13">
      <c r="J99" t="s">
        <v>860</v>
      </c>
    </row>
    <row r="101" spans="10:13">
      <c r="J101" s="1" t="s">
        <v>861</v>
      </c>
    </row>
    <row r="103" spans="10:13">
      <c r="J103" s="5" t="s">
        <v>801</v>
      </c>
      <c r="K103" s="5" t="s">
        <v>862</v>
      </c>
      <c r="L103" s="5" t="s">
        <v>863</v>
      </c>
      <c r="M103" s="5" t="s">
        <v>784</v>
      </c>
    </row>
    <row r="104" spans="10:13">
      <c r="J104" s="2">
        <v>2</v>
      </c>
      <c r="K104" s="2">
        <v>2.75</v>
      </c>
      <c r="L104" s="2">
        <v>17.600000000000001</v>
      </c>
      <c r="M104" s="2" t="s">
        <v>794</v>
      </c>
    </row>
    <row r="105" spans="10:13">
      <c r="J105" s="2">
        <v>4</v>
      </c>
      <c r="K105" s="2">
        <v>0.75</v>
      </c>
      <c r="L105" s="2">
        <v>15.6</v>
      </c>
      <c r="M105" s="2" t="s">
        <v>794</v>
      </c>
    </row>
    <row r="106" spans="10:13">
      <c r="J106" s="2">
        <v>10</v>
      </c>
      <c r="K106" s="2">
        <v>5.25</v>
      </c>
      <c r="L106" s="2">
        <v>9.6</v>
      </c>
      <c r="M106" s="2" t="s">
        <v>794</v>
      </c>
    </row>
    <row r="107" spans="10:13" ht="28.8">
      <c r="J107" s="2">
        <v>12</v>
      </c>
      <c r="K107" s="2">
        <v>7.25</v>
      </c>
      <c r="L107" s="2">
        <v>7.6</v>
      </c>
      <c r="M107" s="2" t="s">
        <v>864</v>
      </c>
    </row>
    <row r="108" spans="10:13">
      <c r="J108" s="2">
        <v>3</v>
      </c>
      <c r="K108" s="2">
        <v>1.75</v>
      </c>
      <c r="L108" s="2">
        <v>16.600000000000001</v>
      </c>
      <c r="M108" s="2" t="s">
        <v>794</v>
      </c>
    </row>
    <row r="109" spans="10:13">
      <c r="J109" s="2">
        <v>20</v>
      </c>
      <c r="K109" s="2">
        <v>15.25</v>
      </c>
      <c r="L109" s="2">
        <v>0.4</v>
      </c>
      <c r="M109" s="2" t="s">
        <v>795</v>
      </c>
    </row>
    <row r="110" spans="10:13">
      <c r="J110" s="2">
        <v>30</v>
      </c>
      <c r="K110" s="2">
        <v>25.25</v>
      </c>
      <c r="L110" s="2">
        <v>10.4</v>
      </c>
      <c r="M110" s="2" t="s">
        <v>795</v>
      </c>
    </row>
    <row r="111" spans="10:13">
      <c r="J111" s="2">
        <v>11</v>
      </c>
      <c r="K111" s="2">
        <v>6.25</v>
      </c>
      <c r="L111" s="2">
        <v>8.6</v>
      </c>
      <c r="M111" s="2" t="s">
        <v>794</v>
      </c>
    </row>
    <row r="112" spans="10:13">
      <c r="J112" s="2">
        <v>25</v>
      </c>
      <c r="K112" s="2">
        <v>20.25</v>
      </c>
      <c r="L112" s="2">
        <v>5.4</v>
      </c>
      <c r="M112" s="2" t="s">
        <v>795</v>
      </c>
    </row>
    <row r="114" spans="10:13">
      <c r="J114" t="s">
        <v>865</v>
      </c>
    </row>
    <row r="115" spans="10:13">
      <c r="J115" t="s">
        <v>866</v>
      </c>
    </row>
    <row r="117" spans="10:13">
      <c r="J117" s="1" t="s">
        <v>867</v>
      </c>
    </row>
    <row r="119" spans="10:13">
      <c r="J119" s="5" t="s">
        <v>801</v>
      </c>
      <c r="K119" s="5" t="s">
        <v>868</v>
      </c>
      <c r="L119" s="5" t="s">
        <v>869</v>
      </c>
      <c r="M119" s="5" t="s">
        <v>784</v>
      </c>
    </row>
    <row r="120" spans="10:13">
      <c r="J120" s="2">
        <v>2</v>
      </c>
      <c r="K120" s="2">
        <v>5</v>
      </c>
      <c r="L120" s="2">
        <v>23</v>
      </c>
      <c r="M120" s="2" t="s">
        <v>794</v>
      </c>
    </row>
    <row r="121" spans="10:13">
      <c r="J121" s="2">
        <v>4</v>
      </c>
      <c r="K121" s="2">
        <v>3</v>
      </c>
      <c r="L121" s="2">
        <v>21</v>
      </c>
      <c r="M121" s="2" t="s">
        <v>794</v>
      </c>
    </row>
    <row r="122" spans="10:13">
      <c r="J122" s="2">
        <v>10</v>
      </c>
      <c r="K122" s="2">
        <v>3</v>
      </c>
      <c r="L122" s="2">
        <v>15</v>
      </c>
      <c r="M122" s="2" t="s">
        <v>794</v>
      </c>
    </row>
    <row r="123" spans="10:13">
      <c r="J123" s="2">
        <v>12</v>
      </c>
      <c r="K123" s="2">
        <v>5</v>
      </c>
      <c r="L123" s="2">
        <v>13</v>
      </c>
      <c r="M123" s="2" t="s">
        <v>794</v>
      </c>
    </row>
    <row r="124" spans="10:13">
      <c r="J124" s="2">
        <v>3</v>
      </c>
      <c r="K124" s="2">
        <v>4</v>
      </c>
      <c r="L124" s="2">
        <v>22</v>
      </c>
      <c r="M124" s="2" t="s">
        <v>794</v>
      </c>
    </row>
    <row r="125" spans="10:13">
      <c r="J125" s="2">
        <v>20</v>
      </c>
      <c r="K125" s="2">
        <v>13</v>
      </c>
      <c r="L125" s="2">
        <v>5</v>
      </c>
      <c r="M125" s="2" t="s">
        <v>795</v>
      </c>
    </row>
    <row r="126" spans="10:13">
      <c r="J126" s="2">
        <v>30</v>
      </c>
      <c r="K126" s="2">
        <v>23</v>
      </c>
      <c r="L126" s="2">
        <v>5</v>
      </c>
      <c r="M126" s="2" t="s">
        <v>795</v>
      </c>
    </row>
    <row r="127" spans="10:13">
      <c r="J127" s="2">
        <v>11</v>
      </c>
      <c r="K127" s="2">
        <v>4</v>
      </c>
      <c r="L127" s="2">
        <v>14</v>
      </c>
      <c r="M127" s="2" t="s">
        <v>794</v>
      </c>
    </row>
    <row r="128" spans="10:13">
      <c r="J128" s="2">
        <v>25</v>
      </c>
      <c r="K128" s="2">
        <v>18</v>
      </c>
      <c r="L128" s="2">
        <v>0</v>
      </c>
      <c r="M128" s="2" t="s">
        <v>795</v>
      </c>
    </row>
    <row r="130" spans="10:12">
      <c r="J130" t="s">
        <v>870</v>
      </c>
    </row>
    <row r="132" spans="10:12" ht="18">
      <c r="J132" s="201" t="s">
        <v>840</v>
      </c>
    </row>
    <row r="134" spans="10:12" ht="28.8">
      <c r="J134" s="5" t="s">
        <v>784</v>
      </c>
      <c r="K134" s="5" t="s">
        <v>841</v>
      </c>
      <c r="L134" s="5" t="s">
        <v>842</v>
      </c>
    </row>
    <row r="135" spans="10:12" ht="28.8">
      <c r="J135" s="3" t="s">
        <v>794</v>
      </c>
      <c r="K135" s="2" t="s">
        <v>871</v>
      </c>
      <c r="L135" s="3">
        <v>7</v>
      </c>
    </row>
    <row r="136" spans="10:12">
      <c r="J136" s="3" t="s">
        <v>795</v>
      </c>
      <c r="K136" s="2" t="s">
        <v>872</v>
      </c>
      <c r="L136" s="3">
        <v>25</v>
      </c>
    </row>
    <row r="138" spans="10:12">
      <c r="J138" t="s">
        <v>873</v>
      </c>
    </row>
    <row r="140" spans="10:12">
      <c r="J140" t="s">
        <v>874</v>
      </c>
    </row>
    <row r="142" spans="10:12">
      <c r="J142" t="s">
        <v>875</v>
      </c>
    </row>
    <row r="144" spans="10:12">
      <c r="J144" t="s">
        <v>876</v>
      </c>
    </row>
    <row r="146" spans="10:10" ht="15">
      <c r="J146" t="s">
        <v>877</v>
      </c>
    </row>
    <row r="148" spans="10:10">
      <c r="J148" t="s">
        <v>878</v>
      </c>
    </row>
    <row r="150" spans="10:10">
      <c r="J150" t="s">
        <v>879</v>
      </c>
    </row>
    <row r="151" spans="10:10">
      <c r="J151" s="4"/>
    </row>
    <row r="152" spans="10:10" ht="15">
      <c r="J152" s="202" t="s">
        <v>880</v>
      </c>
    </row>
    <row r="153" spans="10:10" ht="15">
      <c r="J153" s="8" t="s">
        <v>881</v>
      </c>
    </row>
    <row r="155" spans="10:10">
      <c r="J155" t="s">
        <v>882</v>
      </c>
    </row>
    <row r="156" spans="10:10">
      <c r="J156" t="s">
        <v>883</v>
      </c>
    </row>
    <row r="158" spans="10:10">
      <c r="J158" t="s">
        <v>884</v>
      </c>
    </row>
    <row r="160" spans="10:10">
      <c r="J160" t="s">
        <v>885</v>
      </c>
    </row>
    <row r="162" spans="10:10">
      <c r="J162" t="s">
        <v>886</v>
      </c>
    </row>
    <row r="164" spans="10:10">
      <c r="J164" s="203" t="s">
        <v>887</v>
      </c>
    </row>
  </sheetData>
  <hyperlinks>
    <hyperlink ref="J164" r:id="rId1" display="https://support.anthropic.com/en/articles/8525154-claude-is-providing-incorrect-or-misleading-responses-what-s-going-on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>
      <selection activeCell="L13" sqref="L13"/>
    </sheetView>
  </sheetViews>
  <sheetFormatPr defaultRowHeight="14.4"/>
  <cols>
    <col min="1" max="1" width="8.88671875" customWidth="1"/>
    <col min="2" max="2" width="7.33203125" customWidth="1"/>
    <col min="3" max="3" width="6.6640625" customWidth="1"/>
    <col min="4" max="4" width="8.33203125" customWidth="1"/>
    <col min="8" max="8" width="2.88671875" customWidth="1"/>
    <col min="9" max="9" width="7.88671875" customWidth="1"/>
    <col min="10" max="10" width="7.77734375" customWidth="1"/>
  </cols>
  <sheetData>
    <row r="1" spans="1:12" ht="14.4" customHeight="1">
      <c r="A1" s="207" t="s">
        <v>811</v>
      </c>
      <c r="B1" s="210" t="s">
        <v>800</v>
      </c>
      <c r="C1" s="210" t="s">
        <v>801</v>
      </c>
      <c r="D1" s="208" t="s">
        <v>812</v>
      </c>
      <c r="E1" s="208" t="s">
        <v>809</v>
      </c>
      <c r="F1" s="208" t="s">
        <v>810</v>
      </c>
      <c r="G1" s="208" t="s">
        <v>784</v>
      </c>
      <c r="H1" s="204"/>
      <c r="I1" s="237" t="s">
        <v>900</v>
      </c>
      <c r="J1" s="208" t="s">
        <v>784</v>
      </c>
      <c r="K1" s="208" t="s">
        <v>784</v>
      </c>
      <c r="L1" t="s">
        <v>888</v>
      </c>
    </row>
    <row r="2" spans="1:12">
      <c r="A2" s="207"/>
      <c r="B2" s="210"/>
      <c r="C2" s="210"/>
      <c r="D2" s="209"/>
      <c r="E2" s="209"/>
      <c r="F2" s="209"/>
      <c r="G2" s="209"/>
      <c r="H2" s="204"/>
      <c r="I2" s="237"/>
      <c r="J2" s="209"/>
      <c r="K2" s="209"/>
      <c r="L2" s="4"/>
    </row>
    <row r="3" spans="1:12" ht="15">
      <c r="A3" s="183" t="s">
        <v>802</v>
      </c>
      <c r="B3" s="162">
        <v>2</v>
      </c>
      <c r="C3" s="162">
        <v>10</v>
      </c>
      <c r="D3" s="179">
        <f>SQRT( ($B$13-B3)^2+($C$13-C3)^2)</f>
        <v>0</v>
      </c>
      <c r="E3" s="180">
        <f>SQRT( ($B$14-B3)^2+($C$14-C3)^2)</f>
        <v>3.6055512754639891</v>
      </c>
      <c r="F3" s="180">
        <f>SQRT( ($B$15-B3)^2+($C$15-C3)^2)</f>
        <v>8.0622577482985491</v>
      </c>
      <c r="G3" s="138">
        <f>MATCH(MIN(D3:F3), D3:F3,      0)</f>
        <v>1</v>
      </c>
      <c r="H3" s="204"/>
      <c r="I3" s="236">
        <f>MIN(D3:F3)</f>
        <v>0</v>
      </c>
      <c r="J3" s="138">
        <f>MATCH(I3, D3:F3, 0)</f>
        <v>1</v>
      </c>
      <c r="K3" s="138" t="str">
        <f>INDEX({"A1","B1","C1"},MATCH(MIN(D3:F3), D3:F3,0))</f>
        <v>A1</v>
      </c>
      <c r="L3" s="8" t="s">
        <v>889</v>
      </c>
    </row>
    <row r="4" spans="1:12" ht="15">
      <c r="A4" s="183" t="s">
        <v>803</v>
      </c>
      <c r="B4" s="162">
        <v>2</v>
      </c>
      <c r="C4" s="162">
        <v>5</v>
      </c>
      <c r="D4" s="179">
        <f>SQRT( ($B$13-B4)^2+($C$13-C4)^2)</f>
        <v>5</v>
      </c>
      <c r="E4" s="180">
        <f>SQRT( ($B$14-B4)^2+($C$14-C4)^2)</f>
        <v>4.2426406871192848</v>
      </c>
      <c r="F4" s="180">
        <f>SQRT( ($B$15-B4)^2+($C$15-C4)^2)</f>
        <v>3.1622776601683795</v>
      </c>
      <c r="G4" s="138">
        <f>MATCH(MIN(D4:F4), D4:F4,      0)</f>
        <v>3</v>
      </c>
      <c r="H4" s="204"/>
      <c r="I4" s="236">
        <f t="shared" ref="I4:I10" si="0">MIN(D4:F4)</f>
        <v>3.1622776601683795</v>
      </c>
      <c r="J4" s="138">
        <f t="shared" ref="J4:J10" si="1">MATCH(I4, D4:F4, 0)</f>
        <v>3</v>
      </c>
      <c r="K4" s="138" t="str">
        <f>INDEX({"A1","B1","C1"},MATCH(MIN(D4:F4), D4:F4,0))</f>
        <v>C1</v>
      </c>
      <c r="L4" s="4" t="s">
        <v>890</v>
      </c>
    </row>
    <row r="5" spans="1:12" ht="15">
      <c r="A5" s="183" t="s">
        <v>804</v>
      </c>
      <c r="B5" s="162">
        <v>8</v>
      </c>
      <c r="C5" s="162">
        <v>4</v>
      </c>
      <c r="D5" s="180">
        <f>SQRT( ($B$13-B5)^2+($C$13-C5)^2)</f>
        <v>8.4852813742385695</v>
      </c>
      <c r="E5" s="180">
        <f>SQRT( ($B$14-B5)^2+($C$14-C5)^2)</f>
        <v>5</v>
      </c>
      <c r="F5" s="180">
        <f>SQRT( ($B$15-B5)^2+($C$15-C5)^2)</f>
        <v>7.2801098892805181</v>
      </c>
      <c r="G5" s="138">
        <f>MATCH(MIN(D5:F5), D5:F5,      0)</f>
        <v>2</v>
      </c>
      <c r="H5" s="204"/>
      <c r="I5" s="236">
        <f t="shared" si="0"/>
        <v>5</v>
      </c>
      <c r="J5" s="138">
        <f t="shared" si="1"/>
        <v>2</v>
      </c>
      <c r="K5" s="138" t="str">
        <f>INDEX({"A1","B1","C1"},MATCH(MIN(D5:F5), D5:F5,0))</f>
        <v>B1</v>
      </c>
      <c r="L5" s="4" t="s">
        <v>891</v>
      </c>
    </row>
    <row r="6" spans="1:12" ht="15">
      <c r="A6" s="184" t="s">
        <v>805</v>
      </c>
      <c r="B6" s="163">
        <v>5</v>
      </c>
      <c r="C6" s="163">
        <v>8</v>
      </c>
      <c r="D6" s="180">
        <f>SQRT( ($B$13-B6)^2+($C$13-C6)^2)</f>
        <v>3.6055512754639891</v>
      </c>
      <c r="E6" s="180">
        <f>SQRT( ($B$14-B6)^2+($C$14-C6)^2)</f>
        <v>0</v>
      </c>
      <c r="F6" s="180">
        <f>SQRT( ($B$15-B6)^2+($C$15-C6)^2)</f>
        <v>7.2111025509279782</v>
      </c>
      <c r="G6" s="138">
        <f>MATCH(MIN(D6:F6), D6:F6,      0)</f>
        <v>2</v>
      </c>
      <c r="H6" s="204"/>
      <c r="I6" s="236">
        <f t="shared" si="0"/>
        <v>0</v>
      </c>
      <c r="J6" s="138">
        <f t="shared" si="1"/>
        <v>2</v>
      </c>
      <c r="K6" s="138" t="str">
        <f>INDEX({"A1","B1","C1"},MATCH(MIN(D6:F6), D6:F6,0))</f>
        <v>B1</v>
      </c>
      <c r="L6" s="4" t="s">
        <v>892</v>
      </c>
    </row>
    <row r="7" spans="1:12">
      <c r="A7" s="184" t="s">
        <v>806</v>
      </c>
      <c r="B7" s="181">
        <v>7</v>
      </c>
      <c r="C7" s="181">
        <v>5</v>
      </c>
      <c r="D7" s="180">
        <f>SQRT( ($B$13-B7)^2+($C$13-C7)^2)</f>
        <v>7.0710678118654755</v>
      </c>
      <c r="E7" s="180">
        <f>SQRT( ($B$14-B7)^2+($C$14-C7)^2)</f>
        <v>3.6055512754639891</v>
      </c>
      <c r="F7" s="180">
        <f>SQRT( ($B$15-B7)^2+($C$15-C7)^2)</f>
        <v>6.7082039324993694</v>
      </c>
      <c r="G7" s="138">
        <f>MATCH(MIN(D7:F7), D7:F7,      0)</f>
        <v>2</v>
      </c>
      <c r="H7" s="204"/>
      <c r="I7" s="236">
        <f t="shared" si="0"/>
        <v>3.6055512754639891</v>
      </c>
      <c r="J7" s="138">
        <f t="shared" si="1"/>
        <v>2</v>
      </c>
      <c r="K7" s="138" t="str">
        <f>INDEX({"A1","B1","C1"},MATCH(MIN(D7:F7), D7:F7,0))</f>
        <v>B1</v>
      </c>
    </row>
    <row r="8" spans="1:12" ht="15">
      <c r="A8" s="184" t="s">
        <v>807</v>
      </c>
      <c r="B8" s="181">
        <v>6</v>
      </c>
      <c r="C8" s="181">
        <v>4</v>
      </c>
      <c r="D8" s="180">
        <f>SQRT( ($B$13-B8)^2+($C$13-C8)^2)</f>
        <v>7.2111025509279782</v>
      </c>
      <c r="E8" s="180">
        <f>SQRT( ($B$14-B8)^2+($C$14-C8)^2)</f>
        <v>4.1231056256176606</v>
      </c>
      <c r="F8" s="180">
        <f>SQRT( ($B$15-B8)^2+($C$15-C8)^2)</f>
        <v>5.3851648071345037</v>
      </c>
      <c r="G8" s="138">
        <f>MATCH(MIN(D8:F8), D8:F8,      0)</f>
        <v>2</v>
      </c>
      <c r="H8" s="204"/>
      <c r="I8" s="236">
        <f t="shared" si="0"/>
        <v>4.1231056256176606</v>
      </c>
      <c r="J8" s="138">
        <f t="shared" si="1"/>
        <v>2</v>
      </c>
      <c r="K8" s="138" t="str">
        <f>INDEX({"A1","B1","C1"},MATCH(MIN(D8:F8), D8:F8,0))</f>
        <v>B1</v>
      </c>
      <c r="L8" t="s">
        <v>893</v>
      </c>
    </row>
    <row r="9" spans="1:12">
      <c r="A9" s="185" t="s">
        <v>794</v>
      </c>
      <c r="B9" s="182">
        <v>1</v>
      </c>
      <c r="C9" s="182">
        <v>2</v>
      </c>
      <c r="D9" s="180">
        <f>SQRT( ($B$13-B9)^2+($C$13-C9)^2)</f>
        <v>8.0622577482985491</v>
      </c>
      <c r="E9" s="180">
        <f>SQRT( ($B$14-B9)^2+($C$14-C9)^2)</f>
        <v>7.2111025509279782</v>
      </c>
      <c r="F9" s="180">
        <f>SQRT( ($B$15-B9)^2+($C$15-C9)^2)</f>
        <v>0</v>
      </c>
      <c r="G9" s="138">
        <f>MATCH(MIN(D9:F9), D9:F9,      0)</f>
        <v>3</v>
      </c>
      <c r="H9" s="204"/>
      <c r="I9" s="236">
        <f t="shared" si="0"/>
        <v>0</v>
      </c>
      <c r="J9" s="138">
        <f t="shared" si="1"/>
        <v>3</v>
      </c>
      <c r="K9" s="138" t="str">
        <f>INDEX({"A1","B1","C1"},MATCH(MIN(D9:F9), D9:F9,0))</f>
        <v>C1</v>
      </c>
    </row>
    <row r="10" spans="1:12">
      <c r="A10" s="185" t="s">
        <v>795</v>
      </c>
      <c r="B10" s="182">
        <v>4</v>
      </c>
      <c r="C10" s="182">
        <v>9</v>
      </c>
      <c r="D10" s="180">
        <f>SQRT( ($B$13-B10)^2+($C$13-C10)^2)</f>
        <v>2.2360679774997898</v>
      </c>
      <c r="E10" s="180">
        <f>SQRT( ($B$14-B10)^2+($C$14-C10)^2)</f>
        <v>1.4142135623730951</v>
      </c>
      <c r="F10" s="180">
        <f>SQRT( ($B$15-B10)^2+($C$15-C10)^2)</f>
        <v>7.6157731058639087</v>
      </c>
      <c r="G10" s="138">
        <f>MATCH(MIN(D10:F10), D10:F10,      0)</f>
        <v>2</v>
      </c>
      <c r="H10" s="204"/>
      <c r="I10" s="236">
        <f t="shared" si="0"/>
        <v>1.4142135623730951</v>
      </c>
      <c r="J10" s="138">
        <f t="shared" si="1"/>
        <v>2</v>
      </c>
      <c r="K10" s="138" t="str">
        <f>INDEX({"A1","B1","C1"},MATCH(MIN(D10:F10), D10:F10,0))</f>
        <v>B1</v>
      </c>
      <c r="L10" t="s">
        <v>894</v>
      </c>
    </row>
    <row r="11" spans="1:12">
      <c r="B11" s="28"/>
      <c r="C11" s="28"/>
      <c r="D11" s="178"/>
    </row>
    <row r="12" spans="1:12" ht="21.6" thickBot="1">
      <c r="A12" s="177" t="s">
        <v>808</v>
      </c>
      <c r="G12" s="177" t="s">
        <v>895</v>
      </c>
    </row>
    <row r="13" spans="1:12" ht="28.8">
      <c r="A13" s="168" t="s">
        <v>802</v>
      </c>
      <c r="B13" s="169">
        <v>2</v>
      </c>
      <c r="C13" s="170">
        <v>10</v>
      </c>
      <c r="G13" s="162" t="s">
        <v>802</v>
      </c>
      <c r="H13" s="205">
        <v>2</v>
      </c>
      <c r="I13" s="229">
        <f>AVERAGEIF($G$3:$G$10,     1,    $B$3:$B$10)</f>
        <v>2</v>
      </c>
      <c r="J13" s="229">
        <f>AVERAGEIF($G$3:$G$10,     1,    $C$3:$C$10)</f>
        <v>10</v>
      </c>
    </row>
    <row r="14" spans="1:12" ht="28.8">
      <c r="A14" s="171" t="s">
        <v>805</v>
      </c>
      <c r="B14" s="172">
        <v>5</v>
      </c>
      <c r="C14" s="173">
        <v>8</v>
      </c>
      <c r="G14" s="162" t="s">
        <v>805</v>
      </c>
      <c r="H14" s="205">
        <v>5</v>
      </c>
      <c r="I14" s="229">
        <f>AVERAGEIF($G$3:$G$10,     2,    $B$3:$B$10)</f>
        <v>6</v>
      </c>
      <c r="J14" s="229">
        <f>AVERAGEIF($G$3:$G$10,     2,    $C$3:$C$10)</f>
        <v>6</v>
      </c>
    </row>
    <row r="15" spans="1:12" ht="29.4" thickBot="1">
      <c r="A15" s="174" t="s">
        <v>794</v>
      </c>
      <c r="B15" s="175">
        <v>1</v>
      </c>
      <c r="C15" s="176">
        <v>2</v>
      </c>
      <c r="G15" s="162" t="s">
        <v>794</v>
      </c>
      <c r="H15" s="205">
        <v>1</v>
      </c>
      <c r="I15" s="229">
        <f>AVERAGEIF($G$3:$G$10,     3,    $B$3:$B$10)</f>
        <v>1.5</v>
      </c>
      <c r="J15" s="229">
        <f>AVERAGEIF($G$3:$G$10,     3,    $C$3:$C$10)</f>
        <v>3.5</v>
      </c>
    </row>
    <row r="17" spans="1:13" ht="16.8">
      <c r="A17" s="213" t="s">
        <v>899</v>
      </c>
    </row>
    <row r="18" spans="1:13" ht="16.8">
      <c r="A18" s="213" t="s">
        <v>898</v>
      </c>
    </row>
    <row r="19" spans="1:13" ht="16.8">
      <c r="A19" s="213" t="s">
        <v>897</v>
      </c>
    </row>
    <row r="20" spans="1:13" ht="16.8">
      <c r="A20" s="213" t="s">
        <v>896</v>
      </c>
    </row>
    <row r="21" spans="1:13">
      <c r="L21" s="214" t="s">
        <v>901</v>
      </c>
      <c r="M21" s="214" t="s">
        <v>739</v>
      </c>
    </row>
    <row r="22" spans="1:13" ht="28.8">
      <c r="L22" s="214" t="s">
        <v>902</v>
      </c>
      <c r="M22" s="214" t="s">
        <v>903</v>
      </c>
    </row>
    <row r="23" spans="1:13">
      <c r="L23" s="215">
        <v>100000</v>
      </c>
      <c r="M23" s="215">
        <v>7000</v>
      </c>
    </row>
    <row r="24" spans="1:13">
      <c r="L24" s="215">
        <v>200000</v>
      </c>
      <c r="M24" s="215">
        <v>14000</v>
      </c>
    </row>
    <row r="25" spans="1:13">
      <c r="L25" s="215">
        <v>300000</v>
      </c>
      <c r="M25" s="215">
        <v>21000</v>
      </c>
    </row>
    <row r="26" spans="1:13">
      <c r="L26" s="215">
        <v>400000</v>
      </c>
      <c r="M26" s="215">
        <v>28000</v>
      </c>
    </row>
    <row r="27" spans="1:13" ht="43.2">
      <c r="L27" s="214" t="s">
        <v>904</v>
      </c>
      <c r="M27" s="214" t="s">
        <v>905</v>
      </c>
    </row>
    <row r="28" spans="1:13" ht="100.8">
      <c r="L28" s="216">
        <f>AVERAGEIF(B2:B5,"&lt;23000")</f>
        <v>4</v>
      </c>
      <c r="M28" s="216" t="s">
        <v>906</v>
      </c>
    </row>
    <row r="29" spans="1:13" ht="100.8">
      <c r="L29" s="216" t="e">
        <f>AVERAGEIF(A2:A5,"&lt;95000")</f>
        <v>#DIV/0!</v>
      </c>
      <c r="M29" s="216" t="s">
        <v>907</v>
      </c>
    </row>
    <row r="30" spans="1:13" ht="158.4">
      <c r="L30" s="216" t="e">
        <f>AVERAGEIF(A2:A5,"&gt;250000",B2:B5)</f>
        <v>#DIV/0!</v>
      </c>
      <c r="M30" s="216" t="s">
        <v>908</v>
      </c>
    </row>
  </sheetData>
  <mergeCells count="10">
    <mergeCell ref="A1:A2"/>
    <mergeCell ref="K1:K2"/>
    <mergeCell ref="G1:G2"/>
    <mergeCell ref="D1:D2"/>
    <mergeCell ref="E1:E2"/>
    <mergeCell ref="F1:F2"/>
    <mergeCell ref="B1:B2"/>
    <mergeCell ref="C1:C2"/>
    <mergeCell ref="J1:J2"/>
    <mergeCell ref="I1:I2"/>
  </mergeCells>
  <pageMargins left="0.7" right="0.7" top="0.75" bottom="0.75" header="0.3" footer="0.3"/>
  <pageSetup orientation="portrait" horizontalDpi="4294967294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0"/>
  <sheetViews>
    <sheetView workbookViewId="0">
      <selection activeCell="N16" sqref="N16"/>
    </sheetView>
  </sheetViews>
  <sheetFormatPr defaultRowHeight="14.4"/>
  <cols>
    <col min="6" max="6" width="10.77734375" customWidth="1"/>
    <col min="10" max="10" width="17.109375" customWidth="1"/>
    <col min="11" max="11" width="9" customWidth="1"/>
    <col min="13" max="13" width="11.88671875" customWidth="1"/>
    <col min="14" max="14" width="11.33203125" customWidth="1"/>
    <col min="15" max="15" width="10" customWidth="1"/>
    <col min="16" max="16" width="15.33203125" customWidth="1"/>
    <col min="17" max="17" width="15.5546875" customWidth="1"/>
    <col min="18" max="18" width="12" customWidth="1"/>
    <col min="19" max="19" width="10.88671875" customWidth="1"/>
    <col min="20" max="20" width="9.44140625" customWidth="1"/>
  </cols>
  <sheetData>
    <row r="1" spans="1:21" ht="21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15" t="s">
        <v>7</v>
      </c>
      <c r="H1" t="s">
        <v>1</v>
      </c>
      <c r="R1" s="6" t="s">
        <v>3</v>
      </c>
      <c r="S1" s="6" t="s">
        <v>4</v>
      </c>
      <c r="T1" s="6" t="s">
        <v>5</v>
      </c>
      <c r="U1" s="6" t="s">
        <v>6</v>
      </c>
    </row>
    <row r="2" spans="1:21">
      <c r="A2" s="7" t="s">
        <v>8</v>
      </c>
      <c r="B2" s="9" t="s">
        <v>9</v>
      </c>
      <c r="C2" s="9" t="s">
        <v>10</v>
      </c>
      <c r="D2" s="7" t="s">
        <v>11</v>
      </c>
      <c r="E2" s="7" t="s">
        <v>12</v>
      </c>
      <c r="F2" s="16" t="s">
        <v>13</v>
      </c>
      <c r="H2" t="s">
        <v>0</v>
      </c>
      <c r="R2">
        <f>B14</f>
        <v>5</v>
      </c>
      <c r="S2">
        <f>COUNTIFS(C2:C13,"Hot",$F$2:$F$13,"Yes")</f>
        <v>1</v>
      </c>
      <c r="T2">
        <f>COUNTIFS(D2:D13,"High",$F$2:$F$13,"Yes")</f>
        <v>3</v>
      </c>
      <c r="U2">
        <f>COUNTIFS(E2:E13,"Strong",$F$2:$F$13,"Yes")</f>
        <v>3</v>
      </c>
    </row>
    <row r="3" spans="1:21">
      <c r="A3" s="7" t="s">
        <v>14</v>
      </c>
      <c r="B3" s="7" t="s">
        <v>9</v>
      </c>
      <c r="C3" s="7" t="s">
        <v>10</v>
      </c>
      <c r="D3" s="7" t="s">
        <v>11</v>
      </c>
      <c r="E3" s="7" t="s">
        <v>15</v>
      </c>
      <c r="F3" s="17" t="s">
        <v>13</v>
      </c>
      <c r="R3">
        <f t="shared" ref="R3:R4" si="0">B15</f>
        <v>4</v>
      </c>
      <c r="T3">
        <f>COUNTIFS(D2:D13,"Normal",$F$2:$F$13,"Yes")</f>
        <v>5</v>
      </c>
    </row>
    <row r="4" spans="1:21" ht="15" thickBot="1">
      <c r="A4" s="7" t="s">
        <v>16</v>
      </c>
      <c r="B4" s="7" t="s">
        <v>17</v>
      </c>
      <c r="C4" s="7" t="s">
        <v>10</v>
      </c>
      <c r="D4" s="7" t="s">
        <v>11</v>
      </c>
      <c r="E4" s="7" t="s">
        <v>12</v>
      </c>
      <c r="F4" s="16" t="s">
        <v>18</v>
      </c>
      <c r="R4" s="63">
        <f t="shared" si="0"/>
        <v>3</v>
      </c>
    </row>
    <row r="5" spans="1:21" ht="18.600000000000001" thickTop="1">
      <c r="A5" s="7" t="s">
        <v>19</v>
      </c>
      <c r="B5" s="7" t="s">
        <v>20</v>
      </c>
      <c r="C5" s="7" t="s">
        <v>21</v>
      </c>
      <c r="D5" s="7" t="s">
        <v>11</v>
      </c>
      <c r="E5" s="14" t="s">
        <v>12</v>
      </c>
      <c r="F5" s="16" t="s">
        <v>18</v>
      </c>
      <c r="K5" s="114">
        <f>-(COUNTIF(F2:F13,"Yes")/COUNTA(F2:F13))*LOG(COUNTIF(F2:F13,"Yes")/COUNTA(F2:F13),2)
 -(COUNTIF(F1:F12,"No")/COUNTA(F1:F12))*LOG(COUNTIF(F1:F12,"No")/COUNTA(F1:F12),2)</f>
        <v>0.91829583405448956</v>
      </c>
      <c r="L5" s="113" t="s">
        <v>781</v>
      </c>
      <c r="R5">
        <f>SUM(R2:R4)</f>
        <v>12</v>
      </c>
    </row>
    <row r="6" spans="1:21" ht="21" thickBot="1">
      <c r="A6" s="7" t="s">
        <v>22</v>
      </c>
      <c r="B6" s="7" t="s">
        <v>20</v>
      </c>
      <c r="C6" s="7" t="s">
        <v>23</v>
      </c>
      <c r="D6" s="14" t="s">
        <v>24</v>
      </c>
      <c r="E6" s="7" t="s">
        <v>12</v>
      </c>
      <c r="F6" s="17" t="s">
        <v>18</v>
      </c>
      <c r="H6" s="112" t="s">
        <v>779</v>
      </c>
      <c r="I6" s="10"/>
      <c r="J6" s="10"/>
      <c r="K6" s="11">
        <f>-(COUNTIF(F2:F13,"Yes")/COUNTA(F2:F13))*LOG(COUNTIF(F2:F13,"Yes")/COUNTA(F2:F13),2)
 -(COUNTIF(F2:F13,"No")/COUNTA(F2:F13))*LOG(COUNTIF(F2:F13,"No")/COUNTA(F2:F13),2)</f>
        <v>0.91829583405448956</v>
      </c>
      <c r="M6" s="212" t="s">
        <v>782</v>
      </c>
      <c r="N6" s="212"/>
    </row>
    <row r="7" spans="1:21" ht="23.4">
      <c r="A7" s="7" t="s">
        <v>25</v>
      </c>
      <c r="B7" s="7" t="s">
        <v>20</v>
      </c>
      <c r="C7" s="7" t="s">
        <v>23</v>
      </c>
      <c r="D7" s="7" t="s">
        <v>24</v>
      </c>
      <c r="E7" s="7" t="s">
        <v>15</v>
      </c>
      <c r="F7" s="16" t="s">
        <v>13</v>
      </c>
      <c r="H7" s="18" t="s">
        <v>42</v>
      </c>
      <c r="M7" s="117"/>
      <c r="N7" s="118" t="s">
        <v>740</v>
      </c>
      <c r="O7" s="119"/>
      <c r="P7" s="120"/>
      <c r="Q7" s="1" t="s">
        <v>741</v>
      </c>
    </row>
    <row r="8" spans="1:21">
      <c r="A8" s="7" t="s">
        <v>26</v>
      </c>
      <c r="B8" s="9" t="s">
        <v>17</v>
      </c>
      <c r="C8" s="7" t="s">
        <v>23</v>
      </c>
      <c r="D8" s="7" t="s">
        <v>24</v>
      </c>
      <c r="E8" s="14" t="s">
        <v>15</v>
      </c>
      <c r="F8" s="16" t="s">
        <v>18</v>
      </c>
      <c r="H8" t="s">
        <v>33</v>
      </c>
      <c r="M8" s="121"/>
      <c r="N8" s="122" t="s">
        <v>45</v>
      </c>
      <c r="O8" s="122"/>
      <c r="P8" s="123"/>
    </row>
    <row r="9" spans="1:21" ht="21">
      <c r="A9" s="7" t="s">
        <v>27</v>
      </c>
      <c r="B9" s="7" t="s">
        <v>9</v>
      </c>
      <c r="C9" s="9" t="s">
        <v>21</v>
      </c>
      <c r="D9" s="14" t="s">
        <v>11</v>
      </c>
      <c r="E9" s="7" t="s">
        <v>12</v>
      </c>
      <c r="F9" s="16" t="s">
        <v>13</v>
      </c>
      <c r="H9" s="58" t="s">
        <v>18</v>
      </c>
      <c r="I9" s="59">
        <f>F14</f>
        <v>8</v>
      </c>
      <c r="M9" s="124" t="s">
        <v>3</v>
      </c>
      <c r="N9" s="125" t="s">
        <v>7</v>
      </c>
      <c r="O9" s="125" t="s">
        <v>48</v>
      </c>
      <c r="P9" s="123"/>
      <c r="R9" s="65" t="s">
        <v>3</v>
      </c>
      <c r="S9" s="47" t="s">
        <v>7</v>
      </c>
      <c r="T9" s="47" t="s">
        <v>48</v>
      </c>
    </row>
    <row r="10" spans="1:21" ht="18.600000000000001" thickBot="1">
      <c r="A10" s="7" t="s">
        <v>28</v>
      </c>
      <c r="B10" s="7" t="s">
        <v>9</v>
      </c>
      <c r="C10" s="7" t="s">
        <v>23</v>
      </c>
      <c r="D10" s="7" t="s">
        <v>24</v>
      </c>
      <c r="E10" s="7" t="s">
        <v>12</v>
      </c>
      <c r="F10" s="16" t="s">
        <v>18</v>
      </c>
      <c r="H10" s="60" t="s">
        <v>43</v>
      </c>
      <c r="I10" s="61">
        <f>F15</f>
        <v>4</v>
      </c>
      <c r="M10" s="126" t="s">
        <v>9</v>
      </c>
      <c r="N10" s="127" t="s">
        <v>18</v>
      </c>
      <c r="O10" s="128">
        <f>COUNTIFS(B2:B13,"Sunny",$F$2:$F$13,"Yes")</f>
        <v>2</v>
      </c>
      <c r="P10" s="129">
        <f xml:space="preserve">  -(2/5)*LOG(2/5, 2)</f>
        <v>0.52877123795494485</v>
      </c>
      <c r="R10" s="26" t="s">
        <v>743</v>
      </c>
      <c r="S10" s="45" t="s">
        <v>18</v>
      </c>
      <c r="T10" s="40">
        <f>COUNTIFS(B2:B13,"Overcast",$F$2:$F$13,"Yes")</f>
        <v>3</v>
      </c>
      <c r="U10" s="42">
        <f xml:space="preserve">  -(3/3)*LOG(3/3, 2)</f>
        <v>0</v>
      </c>
    </row>
    <row r="11" spans="1:21" ht="18.600000000000001" thickBot="1">
      <c r="A11" s="7" t="s">
        <v>29</v>
      </c>
      <c r="B11" s="9" t="s">
        <v>20</v>
      </c>
      <c r="C11" s="7" t="s">
        <v>21</v>
      </c>
      <c r="D11" s="7" t="s">
        <v>24</v>
      </c>
      <c r="E11" s="7" t="s">
        <v>12</v>
      </c>
      <c r="F11" s="16" t="s">
        <v>18</v>
      </c>
      <c r="H11" s="62" t="s">
        <v>44</v>
      </c>
      <c r="I11" s="59">
        <f>SUM(I9:I10)</f>
        <v>12</v>
      </c>
      <c r="J11" s="135">
        <f>-(8/12)*LOG(8/12, 2)  - (4/12)*LOG(4/12,2)</f>
        <v>0.91829583405448956</v>
      </c>
      <c r="M11" s="126" t="s">
        <v>9</v>
      </c>
      <c r="N11" s="130" t="s">
        <v>43</v>
      </c>
      <c r="O11" s="128">
        <f>COUNTIFS(B2:B13,"Sunny",$F$2:$F$13,"No")</f>
        <v>3</v>
      </c>
      <c r="P11" s="129">
        <f xml:space="preserve">  -(3/5)*LOG(3/5, 2)</f>
        <v>0.44217935649972373</v>
      </c>
      <c r="R11" s="26" t="s">
        <v>743</v>
      </c>
      <c r="S11" s="46" t="s">
        <v>43</v>
      </c>
      <c r="T11" s="40">
        <f>COUNTIFS(B2:B13,"Overcast",$F$2:$F$13,"No")</f>
        <v>0</v>
      </c>
      <c r="U11" s="42" t="e">
        <f xml:space="preserve">  -(0/3)*LOG(0/3, 2)</f>
        <v>#NUM!</v>
      </c>
    </row>
    <row r="12" spans="1:21" ht="21.6" thickBot="1">
      <c r="A12" s="7" t="s">
        <v>30</v>
      </c>
      <c r="B12" s="7" t="s">
        <v>9</v>
      </c>
      <c r="C12" s="7" t="s">
        <v>21</v>
      </c>
      <c r="D12" s="7" t="s">
        <v>24</v>
      </c>
      <c r="E12" s="7" t="s">
        <v>15</v>
      </c>
      <c r="F12" s="16" t="s">
        <v>18</v>
      </c>
      <c r="J12" s="115" t="s">
        <v>780</v>
      </c>
      <c r="K12" s="116"/>
      <c r="L12" s="116"/>
      <c r="M12" s="131"/>
      <c r="N12" s="132" t="s">
        <v>44</v>
      </c>
      <c r="O12" s="133">
        <f>SUM(O10:O11)</f>
        <v>5</v>
      </c>
      <c r="P12" s="134">
        <f>SUM(P10:P11)</f>
        <v>0.97095059445466858</v>
      </c>
      <c r="Q12" s="43">
        <f>-(2/5)*LOG(2/5,2)-(3/5)*LOG(3/5,2)</f>
        <v>0.97095059445466858</v>
      </c>
      <c r="S12" s="4" t="s">
        <v>44</v>
      </c>
      <c r="T12" s="41">
        <f>SUM(T10:T11)</f>
        <v>3</v>
      </c>
      <c r="U12" s="44" t="e">
        <f>SUM(U10:U11)</f>
        <v>#NUM!</v>
      </c>
    </row>
    <row r="13" spans="1:21">
      <c r="A13" s="7" t="s">
        <v>31</v>
      </c>
      <c r="B13" s="7" t="s">
        <v>17</v>
      </c>
      <c r="C13" s="7" t="s">
        <v>21</v>
      </c>
      <c r="D13" s="7" t="s">
        <v>11</v>
      </c>
      <c r="E13" s="7" t="s">
        <v>15</v>
      </c>
      <c r="F13" s="16" t="s">
        <v>18</v>
      </c>
      <c r="S13" t="s">
        <v>745</v>
      </c>
    </row>
    <row r="14" spans="1:21">
      <c r="B14" s="12">
        <f>COUNTIF(B2:B13,"Sunny")</f>
        <v>5</v>
      </c>
      <c r="C14" s="12">
        <f>COUNTIF(C2:C13,"Hot")</f>
        <v>3</v>
      </c>
      <c r="D14" s="25">
        <f>COUNTIF(D2:D13,"High")</f>
        <v>6</v>
      </c>
      <c r="E14" s="25">
        <f>COUNTIF($E$2:E13,"Strong")</f>
        <v>5</v>
      </c>
      <c r="F14" s="25">
        <f>COUNTIF($F$2:$F$13,"Yes")</f>
        <v>8</v>
      </c>
      <c r="L14" s="71" t="s">
        <v>746</v>
      </c>
      <c r="M14" s="71"/>
      <c r="N14" s="71"/>
      <c r="O14" s="64"/>
      <c r="Q14" s="1" t="s">
        <v>742</v>
      </c>
    </row>
    <row r="15" spans="1:21" ht="18">
      <c r="B15" s="12">
        <f>COUNTIF(B2:B13,"Rain")</f>
        <v>4</v>
      </c>
      <c r="C15" s="12">
        <f>COUNTIF(C2:C13,"Mild")</f>
        <v>5</v>
      </c>
      <c r="D15" s="25">
        <f>COUNTIF(D2:D13,"Normal")</f>
        <v>6</v>
      </c>
      <c r="E15" s="25">
        <f>COUNTIF($E$2:E14,"Weak")</f>
        <v>7</v>
      </c>
      <c r="F15" s="25">
        <f>COUNTIF($F$2:$F$13,"No")</f>
        <v>4</v>
      </c>
      <c r="H15" s="59" t="s">
        <v>37</v>
      </c>
      <c r="I15" s="59"/>
      <c r="J15" s="59"/>
      <c r="K15" s="70" t="s">
        <v>744</v>
      </c>
      <c r="L15" s="59"/>
      <c r="M15" s="69">
        <f>(5/12)*P12 + 0 + (4/12)*U19</f>
        <v>0.67498878917582283</v>
      </c>
      <c r="N15" s="67" t="s">
        <v>747</v>
      </c>
    </row>
    <row r="16" spans="1:21" ht="21">
      <c r="B16" s="12">
        <f>COUNTIF(B3:B14,"Overcast")</f>
        <v>3</v>
      </c>
      <c r="C16" s="12">
        <f>COUNTIF(C2:C13,"Cool")</f>
        <v>4</v>
      </c>
      <c r="D16" s="13"/>
      <c r="E16" s="13"/>
      <c r="F16" s="13"/>
      <c r="H16" s="73" t="s">
        <v>54</v>
      </c>
      <c r="R16" s="65" t="s">
        <v>3</v>
      </c>
      <c r="S16" s="47" t="s">
        <v>7</v>
      </c>
      <c r="T16" s="47" t="s">
        <v>48</v>
      </c>
    </row>
    <row r="17" spans="1:21" ht="18">
      <c r="B17">
        <f>SUM(B14:B16)</f>
        <v>12</v>
      </c>
      <c r="C17">
        <f t="shared" ref="C17:F17" si="1">SUM(C14:C16)</f>
        <v>12</v>
      </c>
      <c r="D17">
        <f t="shared" si="1"/>
        <v>12</v>
      </c>
      <c r="E17">
        <f t="shared" si="1"/>
        <v>12</v>
      </c>
      <c r="F17">
        <f t="shared" si="1"/>
        <v>12</v>
      </c>
      <c r="H17" s="66" t="s">
        <v>748</v>
      </c>
      <c r="I17" s="66"/>
      <c r="J17" s="66"/>
      <c r="K17" s="72">
        <f>J11-M15</f>
        <v>0.24330704487866672</v>
      </c>
      <c r="R17" s="26" t="s">
        <v>20</v>
      </c>
      <c r="S17" s="45" t="s">
        <v>18</v>
      </c>
      <c r="T17" s="40">
        <f>COUNTIFS(B2:B13,"Rain",$F$2:$F$13,"Yes")</f>
        <v>3</v>
      </c>
      <c r="U17" s="42">
        <f xml:space="preserve">  -(3/T19)*LOG(3/4, 2)</f>
        <v>0.31127812445913283</v>
      </c>
    </row>
    <row r="18" spans="1:21" ht="18.600000000000001" thickBot="1">
      <c r="R18" s="26" t="s">
        <v>20</v>
      </c>
      <c r="S18" s="46" t="s">
        <v>43</v>
      </c>
      <c r="T18" s="40">
        <f>COUNTIFS(B2:B13,"Rain",$F$2:$F$13,"No")</f>
        <v>1</v>
      </c>
      <c r="U18" s="42">
        <f xml:space="preserve">  -(1/T19)*LOG(1/4, 2)</f>
        <v>0.5</v>
      </c>
    </row>
    <row r="19" spans="1:21" ht="21">
      <c r="B19" s="11">
        <f>-(B14/12)*LOG(B14/12, 2)  - (B15/12)*LOG(B15/12,2) - (B16/12)*LOG(B16/12,2)</f>
        <v>1.5545851693377994</v>
      </c>
      <c r="F19" s="11">
        <f>-(8/12)*LOG(8/12, 2)  - (4/12)*LOG(4/12,2)</f>
        <v>0.91829583405448956</v>
      </c>
      <c r="H19" s="74" t="s">
        <v>749</v>
      </c>
      <c r="S19" s="4" t="s">
        <v>44</v>
      </c>
      <c r="T19" s="41">
        <f>SUM(T17:T18)</f>
        <v>4</v>
      </c>
      <c r="U19" s="68">
        <f>SUM(U17:U18)</f>
        <v>0.81127812445913283</v>
      </c>
    </row>
    <row r="21" spans="1:21" ht="43.2">
      <c r="A21" s="5" t="s">
        <v>3</v>
      </c>
      <c r="B21" s="19" t="s">
        <v>38</v>
      </c>
      <c r="C21" s="19" t="s">
        <v>18</v>
      </c>
      <c r="D21" s="19" t="s">
        <v>13</v>
      </c>
      <c r="E21" s="19" t="s">
        <v>39</v>
      </c>
      <c r="F21" s="19" t="s">
        <v>40</v>
      </c>
      <c r="G21" s="19" t="s">
        <v>41</v>
      </c>
    </row>
    <row r="22" spans="1:21">
      <c r="A22" s="2" t="s">
        <v>9</v>
      </c>
      <c r="B22" s="20">
        <v>5</v>
      </c>
      <c r="C22" s="20">
        <v>2</v>
      </c>
      <c r="D22" s="20">
        <v>3</v>
      </c>
      <c r="E22" s="20">
        <v>0.97099999999999997</v>
      </c>
      <c r="F22" s="21">
        <v>46154</v>
      </c>
      <c r="G22" s="20">
        <v>0.40460000000000002</v>
      </c>
      <c r="P22" s="53" t="s">
        <v>242</v>
      </c>
      <c r="Q22" s="54" t="s">
        <v>75</v>
      </c>
    </row>
    <row r="23" spans="1:21" ht="31.2">
      <c r="A23" s="2" t="s">
        <v>17</v>
      </c>
      <c r="B23" s="20">
        <v>3</v>
      </c>
      <c r="C23" s="20">
        <v>3</v>
      </c>
      <c r="D23" s="20">
        <v>0</v>
      </c>
      <c r="E23" s="20">
        <v>0</v>
      </c>
      <c r="F23" s="21">
        <v>46093</v>
      </c>
      <c r="G23" s="20">
        <v>0</v>
      </c>
      <c r="P23" s="56" t="s">
        <v>243</v>
      </c>
      <c r="Q23" s="55">
        <v>0.91830000000000001</v>
      </c>
      <c r="R23" s="57">
        <f>-(8/12)*LOG(8/12, 2)  - (4/12)*LOG(4/12,2)</f>
        <v>0.91829583405448956</v>
      </c>
    </row>
    <row r="24" spans="1:21">
      <c r="A24" s="2" t="s">
        <v>20</v>
      </c>
      <c r="B24" s="20">
        <v>4</v>
      </c>
      <c r="C24" s="20">
        <v>3</v>
      </c>
      <c r="D24" s="20">
        <v>1</v>
      </c>
      <c r="E24" s="20">
        <v>0.81130000000000002</v>
      </c>
      <c r="F24" s="21">
        <v>46124</v>
      </c>
      <c r="G24" s="20">
        <v>0.27039999999999997</v>
      </c>
      <c r="P24" t="s">
        <v>753</v>
      </c>
    </row>
    <row r="25" spans="1:21" ht="15.6">
      <c r="A25" s="3" t="s">
        <v>38</v>
      </c>
      <c r="B25" s="22">
        <f>SUM(B22:B24)</f>
        <v>12</v>
      </c>
      <c r="C25" s="22">
        <f t="shared" ref="C25:D25" si="2">SUM(C22:C24)</f>
        <v>8</v>
      </c>
      <c r="D25" s="22">
        <f t="shared" si="2"/>
        <v>4</v>
      </c>
      <c r="E25" s="20"/>
      <c r="F25" s="20"/>
      <c r="G25" s="22">
        <v>0.67500000000000004</v>
      </c>
      <c r="O25" s="83" t="s">
        <v>752</v>
      </c>
      <c r="P25" s="84" t="s">
        <v>3</v>
      </c>
      <c r="Q25" s="85">
        <f>K17</f>
        <v>0.24330704487866672</v>
      </c>
    </row>
    <row r="26" spans="1:21">
      <c r="O26" s="37"/>
      <c r="P26" s="75" t="s">
        <v>245</v>
      </c>
      <c r="Q26" s="76">
        <v>0.11749999999999999</v>
      </c>
      <c r="R26" s="211" t="s">
        <v>754</v>
      </c>
    </row>
    <row r="27" spans="1:21">
      <c r="O27" s="37"/>
      <c r="P27" s="75" t="s">
        <v>246</v>
      </c>
      <c r="Q27" s="76">
        <v>9.3299999999999994E-2</v>
      </c>
      <c r="R27" s="211"/>
    </row>
    <row r="28" spans="1:21" ht="15" thickBot="1">
      <c r="O28" s="37"/>
      <c r="P28" s="75" t="s">
        <v>247</v>
      </c>
      <c r="Q28" s="76">
        <v>1.0200000000000001E-2</v>
      </c>
      <c r="R28" s="211"/>
    </row>
    <row r="29" spans="1:21" ht="15" thickBot="1">
      <c r="J29" s="77" t="s">
        <v>750</v>
      </c>
      <c r="K29" s="78"/>
      <c r="L29" s="78"/>
      <c r="M29" s="78"/>
      <c r="N29" s="79"/>
    </row>
    <row r="30" spans="1:21" ht="16.2" thickBot="1">
      <c r="J30" s="80" t="s">
        <v>751</v>
      </c>
      <c r="K30" s="81"/>
      <c r="L30" s="81"/>
      <c r="M30" s="81"/>
      <c r="N30" s="82"/>
      <c r="O30" s="86" t="s">
        <v>248</v>
      </c>
      <c r="P30" s="87" t="s">
        <v>3</v>
      </c>
      <c r="Q30" s="88" t="s">
        <v>755</v>
      </c>
      <c r="R30" s="89"/>
      <c r="S30" s="90"/>
    </row>
  </sheetData>
  <mergeCells count="2">
    <mergeCell ref="R26:R28"/>
    <mergeCell ref="M6:N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41"/>
  <sheetViews>
    <sheetView topLeftCell="A16" zoomScale="130" zoomScaleNormal="130" workbookViewId="0">
      <selection activeCell="B283" sqref="B283"/>
    </sheetView>
  </sheetViews>
  <sheetFormatPr defaultRowHeight="13.8"/>
  <cols>
    <col min="1" max="1" width="5.88671875" style="39" customWidth="1"/>
    <col min="2" max="2" width="7.5546875" style="39" customWidth="1"/>
    <col min="3" max="3" width="5.6640625" style="39" customWidth="1"/>
    <col min="4" max="4" width="8.88671875" style="39" customWidth="1"/>
    <col min="5" max="5" width="11" style="39" customWidth="1"/>
    <col min="6" max="6" width="11.109375" style="39" customWidth="1"/>
    <col min="7" max="7" width="9.33203125" style="39" customWidth="1"/>
    <col min="8" max="10" width="8.88671875" style="39"/>
    <col min="11" max="11" width="10.109375" style="39" customWidth="1"/>
    <col min="12" max="12" width="10.6640625" style="39" customWidth="1"/>
    <col min="13" max="16384" width="8.88671875" style="39"/>
  </cols>
  <sheetData>
    <row r="1" spans="1:6">
      <c r="A1" s="39" t="s">
        <v>49</v>
      </c>
    </row>
    <row r="2" spans="1:6">
      <c r="A2" s="39" t="s">
        <v>50</v>
      </c>
    </row>
    <row r="4" spans="1:6">
      <c r="A4" s="39" t="s">
        <v>756</v>
      </c>
    </row>
    <row r="6" spans="1:6">
      <c r="A6" s="39" t="s">
        <v>757</v>
      </c>
    </row>
    <row r="7" spans="1:6">
      <c r="A7" s="91" t="s">
        <v>51</v>
      </c>
    </row>
    <row r="9" spans="1:6">
      <c r="A9" s="39" t="s">
        <v>52</v>
      </c>
    </row>
    <row r="11" spans="1:6">
      <c r="A11" s="38" t="s">
        <v>2</v>
      </c>
      <c r="B11" s="38" t="s">
        <v>3</v>
      </c>
      <c r="C11" s="38" t="s">
        <v>4</v>
      </c>
      <c r="D11" s="38" t="s">
        <v>5</v>
      </c>
      <c r="E11" s="38" t="s">
        <v>6</v>
      </c>
      <c r="F11" s="38" t="s">
        <v>7</v>
      </c>
    </row>
    <row r="12" spans="1:6">
      <c r="A12" s="92" t="s">
        <v>8</v>
      </c>
      <c r="B12" s="92" t="s">
        <v>9</v>
      </c>
      <c r="C12" s="92" t="s">
        <v>10</v>
      </c>
      <c r="D12" s="92" t="s">
        <v>11</v>
      </c>
      <c r="E12" s="92" t="s">
        <v>12</v>
      </c>
      <c r="F12" s="92" t="s">
        <v>13</v>
      </c>
    </row>
    <row r="13" spans="1:6">
      <c r="A13" s="92" t="s">
        <v>14</v>
      </c>
      <c r="B13" s="92" t="s">
        <v>9</v>
      </c>
      <c r="C13" s="92" t="s">
        <v>10</v>
      </c>
      <c r="D13" s="92" t="s">
        <v>11</v>
      </c>
      <c r="E13" s="92" t="s">
        <v>15</v>
      </c>
      <c r="F13" s="92" t="s">
        <v>13</v>
      </c>
    </row>
    <row r="14" spans="1:6" ht="27.6">
      <c r="A14" s="92" t="s">
        <v>16</v>
      </c>
      <c r="B14" s="92" t="s">
        <v>17</v>
      </c>
      <c r="C14" s="92" t="s">
        <v>10</v>
      </c>
      <c r="D14" s="92" t="s">
        <v>11</v>
      </c>
      <c r="E14" s="92" t="s">
        <v>12</v>
      </c>
      <c r="F14" s="92" t="s">
        <v>18</v>
      </c>
    </row>
    <row r="15" spans="1:6">
      <c r="A15" s="92" t="s">
        <v>19</v>
      </c>
      <c r="B15" s="92" t="s">
        <v>20</v>
      </c>
      <c r="C15" s="92" t="s">
        <v>21</v>
      </c>
      <c r="D15" s="92" t="s">
        <v>11</v>
      </c>
      <c r="E15" s="92" t="s">
        <v>12</v>
      </c>
      <c r="F15" s="92" t="s">
        <v>18</v>
      </c>
    </row>
    <row r="16" spans="1:6">
      <c r="A16" s="92" t="s">
        <v>22</v>
      </c>
      <c r="B16" s="92" t="s">
        <v>20</v>
      </c>
      <c r="C16" s="92" t="s">
        <v>23</v>
      </c>
      <c r="D16" s="92" t="s">
        <v>24</v>
      </c>
      <c r="E16" s="92" t="s">
        <v>12</v>
      </c>
      <c r="F16" s="92" t="s">
        <v>18</v>
      </c>
    </row>
    <row r="17" spans="1:6">
      <c r="A17" s="92" t="s">
        <v>25</v>
      </c>
      <c r="B17" s="92" t="s">
        <v>20</v>
      </c>
      <c r="C17" s="92" t="s">
        <v>23</v>
      </c>
      <c r="D17" s="92" t="s">
        <v>24</v>
      </c>
      <c r="E17" s="92" t="s">
        <v>15</v>
      </c>
      <c r="F17" s="92" t="s">
        <v>13</v>
      </c>
    </row>
    <row r="18" spans="1:6" ht="27.6">
      <c r="A18" s="92" t="s">
        <v>26</v>
      </c>
      <c r="B18" s="92" t="s">
        <v>17</v>
      </c>
      <c r="C18" s="92" t="s">
        <v>23</v>
      </c>
      <c r="D18" s="92" t="s">
        <v>24</v>
      </c>
      <c r="E18" s="92" t="s">
        <v>15</v>
      </c>
      <c r="F18" s="92" t="s">
        <v>18</v>
      </c>
    </row>
    <row r="19" spans="1:6">
      <c r="A19" s="92" t="s">
        <v>27</v>
      </c>
      <c r="B19" s="92" t="s">
        <v>9</v>
      </c>
      <c r="C19" s="92" t="s">
        <v>21</v>
      </c>
      <c r="D19" s="92" t="s">
        <v>11</v>
      </c>
      <c r="E19" s="92" t="s">
        <v>12</v>
      </c>
      <c r="F19" s="92" t="s">
        <v>13</v>
      </c>
    </row>
    <row r="20" spans="1:6">
      <c r="A20" s="92" t="s">
        <v>28</v>
      </c>
      <c r="B20" s="92" t="s">
        <v>9</v>
      </c>
      <c r="C20" s="92" t="s">
        <v>23</v>
      </c>
      <c r="D20" s="92" t="s">
        <v>24</v>
      </c>
      <c r="E20" s="92" t="s">
        <v>12</v>
      </c>
      <c r="F20" s="92" t="s">
        <v>18</v>
      </c>
    </row>
    <row r="21" spans="1:6">
      <c r="A21" s="92" t="s">
        <v>29</v>
      </c>
      <c r="B21" s="92" t="s">
        <v>20</v>
      </c>
      <c r="C21" s="92" t="s">
        <v>21</v>
      </c>
      <c r="D21" s="92" t="s">
        <v>24</v>
      </c>
      <c r="E21" s="92" t="s">
        <v>12</v>
      </c>
      <c r="F21" s="92" t="s">
        <v>18</v>
      </c>
    </row>
    <row r="22" spans="1:6">
      <c r="A22" s="92" t="s">
        <v>30</v>
      </c>
      <c r="B22" s="92" t="s">
        <v>9</v>
      </c>
      <c r="C22" s="92" t="s">
        <v>21</v>
      </c>
      <c r="D22" s="92" t="s">
        <v>24</v>
      </c>
      <c r="E22" s="92" t="s">
        <v>15</v>
      </c>
      <c r="F22" s="92" t="s">
        <v>18</v>
      </c>
    </row>
    <row r="23" spans="1:6" ht="27.6">
      <c r="A23" s="92" t="s">
        <v>31</v>
      </c>
      <c r="B23" s="92" t="s">
        <v>17</v>
      </c>
      <c r="C23" s="92" t="s">
        <v>21</v>
      </c>
      <c r="D23" s="92" t="s">
        <v>11</v>
      </c>
      <c r="E23" s="92" t="s">
        <v>15</v>
      </c>
      <c r="F23" s="92" t="s">
        <v>18</v>
      </c>
    </row>
    <row r="26" spans="1:6">
      <c r="A26" s="91" t="s">
        <v>32</v>
      </c>
    </row>
    <row r="28" spans="1:6">
      <c r="A28" s="39" t="s">
        <v>33</v>
      </c>
    </row>
    <row r="29" spans="1:6">
      <c r="A29" s="93"/>
    </row>
    <row r="30" spans="1:6">
      <c r="A30" s="94" t="s">
        <v>34</v>
      </c>
    </row>
    <row r="31" spans="1:6">
      <c r="A31" s="93"/>
    </row>
    <row r="32" spans="1:6">
      <c r="A32" s="94" t="s">
        <v>35</v>
      </c>
    </row>
    <row r="33" spans="1:1">
      <c r="A33" s="93"/>
    </row>
    <row r="34" spans="1:1">
      <c r="A34" s="93" t="s">
        <v>36</v>
      </c>
    </row>
    <row r="36" spans="1:1">
      <c r="A36" s="39" t="s">
        <v>37</v>
      </c>
    </row>
    <row r="38" spans="1:1">
      <c r="A38" s="39" t="s">
        <v>53</v>
      </c>
    </row>
    <row r="40" spans="1:1">
      <c r="A40" s="39" t="s">
        <v>54</v>
      </c>
    </row>
    <row r="42" spans="1:1">
      <c r="A42" s="39" t="s">
        <v>55</v>
      </c>
    </row>
    <row r="45" spans="1:1">
      <c r="A45" s="91" t="s">
        <v>56</v>
      </c>
    </row>
    <row r="47" spans="1:1" ht="15">
      <c r="A47" s="39" t="s">
        <v>758</v>
      </c>
    </row>
    <row r="49" spans="1:1">
      <c r="A49" s="39" t="s">
        <v>57</v>
      </c>
    </row>
    <row r="51" spans="1:1" ht="15">
      <c r="A51" s="27" t="e">
        <f>-(COUNTIF(#REF!,"Yes")/COUNTA(#REF!))*LOG(COUNTIF(#REF!,"Yes")/COUNTA(#REF!),2)</f>
        <v>#REF!</v>
      </c>
    </row>
    <row r="52" spans="1:1" ht="15">
      <c r="A52" s="27" t="s">
        <v>58</v>
      </c>
    </row>
    <row r="54" spans="1:1">
      <c r="A54" s="39" t="s">
        <v>59</v>
      </c>
    </row>
    <row r="56" spans="1:1" ht="15">
      <c r="A56" s="27">
        <v>0.91829583400000003</v>
      </c>
    </row>
    <row r="58" spans="1:1">
      <c r="A58" s="39" t="s">
        <v>60</v>
      </c>
    </row>
    <row r="60" spans="1:1" ht="15">
      <c r="A60" s="27">
        <v>0.91830000000000001</v>
      </c>
    </row>
    <row r="62" spans="1:1">
      <c r="A62" s="91" t="s">
        <v>61</v>
      </c>
    </row>
    <row r="64" spans="1:1">
      <c r="A64" s="39" t="s">
        <v>62</v>
      </c>
    </row>
    <row r="66" spans="1:4" ht="41.4">
      <c r="A66" s="48" t="s">
        <v>63</v>
      </c>
      <c r="B66" s="49" t="s">
        <v>48</v>
      </c>
      <c r="C66" s="49" t="s">
        <v>64</v>
      </c>
      <c r="D66" s="49" t="s">
        <v>65</v>
      </c>
    </row>
    <row r="67" spans="1:4" ht="55.2">
      <c r="A67" s="50" t="s">
        <v>18</v>
      </c>
      <c r="B67" s="95">
        <v>8</v>
      </c>
      <c r="C67" s="95" t="s">
        <v>66</v>
      </c>
      <c r="D67" s="95" t="s">
        <v>67</v>
      </c>
    </row>
    <row r="68" spans="1:4" ht="55.2">
      <c r="A68" s="50" t="s">
        <v>13</v>
      </c>
      <c r="B68" s="95">
        <v>4</v>
      </c>
      <c r="C68" s="95" t="s">
        <v>68</v>
      </c>
      <c r="D68" s="95" t="s">
        <v>69</v>
      </c>
    </row>
    <row r="70" spans="1:4">
      <c r="A70" s="39" t="s">
        <v>70</v>
      </c>
    </row>
    <row r="72" spans="1:4" ht="15">
      <c r="A72" s="27">
        <f>-(8/12)*LOG(8/12,2)-(4/12)*LOG(4/12,2)</f>
        <v>0.91829583405448956</v>
      </c>
    </row>
    <row r="74" spans="1:4">
      <c r="A74" s="39" t="s">
        <v>759</v>
      </c>
    </row>
    <row r="78" spans="1:4">
      <c r="A78" s="91" t="s">
        <v>71</v>
      </c>
    </row>
    <row r="80" spans="1:4">
      <c r="A80" s="39" t="s">
        <v>760</v>
      </c>
    </row>
    <row r="82" spans="1:1">
      <c r="A82" s="39" t="s">
        <v>72</v>
      </c>
    </row>
    <row r="84" spans="1:1">
      <c r="A84" s="39" t="s">
        <v>73</v>
      </c>
    </row>
    <row r="86" spans="1:1">
      <c r="A86" s="39" t="s">
        <v>761</v>
      </c>
    </row>
    <row r="87" spans="1:1">
      <c r="A87" s="93"/>
    </row>
    <row r="88" spans="1:1">
      <c r="A88" s="93" t="s">
        <v>9</v>
      </c>
    </row>
    <row r="89" spans="1:1">
      <c r="A89" s="93"/>
    </row>
    <row r="90" spans="1:1">
      <c r="A90" s="93" t="s">
        <v>17</v>
      </c>
    </row>
    <row r="91" spans="1:1">
      <c r="A91" s="93"/>
    </row>
    <row r="92" spans="1:1">
      <c r="A92" s="93" t="s">
        <v>20</v>
      </c>
    </row>
    <row r="96" spans="1:1">
      <c r="A96" s="91" t="s">
        <v>74</v>
      </c>
    </row>
    <row r="98" spans="1:2">
      <c r="A98" s="39" t="s">
        <v>45</v>
      </c>
    </row>
    <row r="100" spans="1:2" ht="27.6">
      <c r="A100" s="48" t="s">
        <v>75</v>
      </c>
      <c r="B100" s="49" t="s">
        <v>48</v>
      </c>
    </row>
    <row r="101" spans="1:2">
      <c r="A101" s="50" t="s">
        <v>18</v>
      </c>
      <c r="B101" s="95">
        <v>2</v>
      </c>
    </row>
    <row r="102" spans="1:2">
      <c r="A102" s="50" t="s">
        <v>13</v>
      </c>
      <c r="B102" s="95">
        <v>3</v>
      </c>
    </row>
    <row r="104" spans="1:2">
      <c r="A104" s="39" t="s">
        <v>54</v>
      </c>
    </row>
    <row r="106" spans="1:2">
      <c r="A106" s="39" t="s">
        <v>76</v>
      </c>
    </row>
    <row r="108" spans="1:2">
      <c r="A108" s="39" t="s">
        <v>77</v>
      </c>
    </row>
    <row r="110" spans="1:2" ht="15">
      <c r="A110" s="27">
        <f>-(2/5)*LOG(2/5,2)-(3/5)*LOG(3/5,2)</f>
        <v>0.97095059445466858</v>
      </c>
    </row>
    <row r="114" spans="1:2">
      <c r="A114" s="91" t="s">
        <v>78</v>
      </c>
    </row>
    <row r="116" spans="1:2">
      <c r="A116" s="39" t="s">
        <v>79</v>
      </c>
    </row>
    <row r="118" spans="1:2" ht="27.6">
      <c r="A118" s="48" t="s">
        <v>75</v>
      </c>
      <c r="B118" s="49" t="s">
        <v>48</v>
      </c>
    </row>
    <row r="119" spans="1:2">
      <c r="A119" s="50" t="s">
        <v>18</v>
      </c>
      <c r="B119" s="95">
        <v>3</v>
      </c>
    </row>
    <row r="120" spans="1:2">
      <c r="A120" s="50" t="s">
        <v>13</v>
      </c>
      <c r="B120" s="95">
        <v>0</v>
      </c>
    </row>
    <row r="122" spans="1:2">
      <c r="A122" s="39" t="s">
        <v>54</v>
      </c>
    </row>
    <row r="124" spans="1:2">
      <c r="A124" s="39" t="s">
        <v>80</v>
      </c>
    </row>
    <row r="126" spans="1:2">
      <c r="A126" s="39" t="s">
        <v>77</v>
      </c>
    </row>
    <row r="128" spans="1:2" ht="15">
      <c r="A128" s="27">
        <f>-(3/3)*LOG(3/3,2)</f>
        <v>0</v>
      </c>
    </row>
    <row r="130" spans="1:2">
      <c r="A130" s="39" t="s">
        <v>59</v>
      </c>
    </row>
    <row r="132" spans="1:2" ht="15">
      <c r="A132" s="27">
        <v>0</v>
      </c>
    </row>
    <row r="134" spans="1:2">
      <c r="A134" s="39" t="s">
        <v>762</v>
      </c>
    </row>
    <row r="138" spans="1:2">
      <c r="A138" s="91" t="s">
        <v>81</v>
      </c>
    </row>
    <row r="140" spans="1:2">
      <c r="A140" s="39" t="s">
        <v>82</v>
      </c>
    </row>
    <row r="142" spans="1:2" ht="27.6">
      <c r="A142" s="48" t="s">
        <v>75</v>
      </c>
      <c r="B142" s="49" t="s">
        <v>48</v>
      </c>
    </row>
    <row r="143" spans="1:2">
      <c r="A143" s="50" t="s">
        <v>18</v>
      </c>
      <c r="B143" s="95">
        <v>3</v>
      </c>
    </row>
    <row r="144" spans="1:2">
      <c r="A144" s="50" t="s">
        <v>13</v>
      </c>
      <c r="B144" s="95">
        <v>1</v>
      </c>
    </row>
    <row r="146" spans="1:1">
      <c r="A146" s="39" t="s">
        <v>54</v>
      </c>
    </row>
    <row r="148" spans="1:1">
      <c r="A148" s="39" t="s">
        <v>83</v>
      </c>
    </row>
    <row r="150" spans="1:1">
      <c r="A150" s="39" t="s">
        <v>77</v>
      </c>
    </row>
    <row r="152" spans="1:1" ht="15">
      <c r="A152" s="27">
        <f>-(3/4)*LOG(3/4,2)-(1/4)*LOG(1/4,2)</f>
        <v>0.81127812445913283</v>
      </c>
    </row>
    <row r="156" spans="1:1">
      <c r="A156" s="91" t="s">
        <v>84</v>
      </c>
    </row>
    <row r="158" spans="1:1">
      <c r="A158" s="39" t="s">
        <v>85</v>
      </c>
    </row>
    <row r="160" spans="1:1">
      <c r="A160" s="39" t="s">
        <v>86</v>
      </c>
    </row>
    <row r="162" spans="1:7">
      <c r="A162" s="39" t="s">
        <v>54</v>
      </c>
    </row>
    <row r="164" spans="1:7">
      <c r="A164" s="39" t="s">
        <v>87</v>
      </c>
    </row>
    <row r="167" spans="1:7">
      <c r="A167" s="91" t="s">
        <v>88</v>
      </c>
    </row>
    <row r="169" spans="1:7">
      <c r="A169" s="39" t="s">
        <v>89</v>
      </c>
    </row>
    <row r="171" spans="1:7" ht="27.6">
      <c r="A171" s="38" t="s">
        <v>3</v>
      </c>
      <c r="B171" s="38" t="s">
        <v>38</v>
      </c>
      <c r="C171" s="38" t="s">
        <v>18</v>
      </c>
      <c r="D171" s="38" t="s">
        <v>13</v>
      </c>
      <c r="E171" s="38" t="s">
        <v>39</v>
      </c>
      <c r="F171" s="38" t="s">
        <v>40</v>
      </c>
      <c r="G171" s="38" t="s">
        <v>41</v>
      </c>
    </row>
    <row r="172" spans="1:7">
      <c r="A172" s="92" t="s">
        <v>9</v>
      </c>
      <c r="B172" s="92">
        <v>5</v>
      </c>
      <c r="C172" s="92">
        <v>2</v>
      </c>
      <c r="D172" s="92">
        <v>3</v>
      </c>
      <c r="E172" s="92">
        <v>0.97099999999999997</v>
      </c>
      <c r="F172" s="108">
        <f>B172/12</f>
        <v>0.41666666666666669</v>
      </c>
      <c r="G172" s="109">
        <f>E172*F172</f>
        <v>0.40458333333333335</v>
      </c>
    </row>
    <row r="173" spans="1:7" ht="27.6">
      <c r="A173" s="92" t="s">
        <v>17</v>
      </c>
      <c r="B173" s="92">
        <v>3</v>
      </c>
      <c r="C173" s="92">
        <v>3</v>
      </c>
      <c r="D173" s="92">
        <v>0</v>
      </c>
      <c r="E173" s="92">
        <v>0</v>
      </c>
      <c r="F173" s="108">
        <f>B173/12</f>
        <v>0.25</v>
      </c>
      <c r="G173" s="92">
        <f t="shared" ref="G173:G174" si="0">E173*F173</f>
        <v>0</v>
      </c>
    </row>
    <row r="174" spans="1:7">
      <c r="A174" s="92" t="s">
        <v>20</v>
      </c>
      <c r="B174" s="92">
        <v>4</v>
      </c>
      <c r="C174" s="92">
        <v>3</v>
      </c>
      <c r="D174" s="92">
        <v>1</v>
      </c>
      <c r="E174" s="92">
        <v>0.81130000000000002</v>
      </c>
      <c r="F174" s="108">
        <f t="shared" ref="F174" si="1">B174/12</f>
        <v>0.33333333333333331</v>
      </c>
      <c r="G174" s="109">
        <f t="shared" si="0"/>
        <v>0.2704333333333333</v>
      </c>
    </row>
    <row r="175" spans="1:7">
      <c r="A175" s="52" t="s">
        <v>38</v>
      </c>
      <c r="B175" s="51">
        <v>12</v>
      </c>
      <c r="C175" s="95"/>
      <c r="D175" s="95"/>
      <c r="E175" s="95"/>
      <c r="F175" s="95"/>
      <c r="G175" s="51">
        <f>SUM(G172:G174)</f>
        <v>0.6750166666666666</v>
      </c>
    </row>
    <row r="177" spans="1:4" ht="15">
      <c r="A177" s="39" t="s">
        <v>70</v>
      </c>
      <c r="B177" s="27">
        <f>0.918295834-0.674988789</f>
        <v>0.243307045</v>
      </c>
      <c r="D177" s="39" t="s">
        <v>90</v>
      </c>
    </row>
    <row r="178" spans="1:4">
      <c r="A178" s="91" t="s">
        <v>91</v>
      </c>
    </row>
    <row r="180" spans="1:4">
      <c r="A180" s="39" t="s">
        <v>92</v>
      </c>
    </row>
    <row r="182" spans="1:4">
      <c r="A182" s="39" t="s">
        <v>93</v>
      </c>
    </row>
    <row r="184" spans="1:4" ht="55.2">
      <c r="A184" s="48" t="s">
        <v>94</v>
      </c>
      <c r="B184" s="49" t="s">
        <v>41</v>
      </c>
      <c r="C184" s="49" t="s">
        <v>95</v>
      </c>
    </row>
    <row r="185" spans="1:4" ht="27.6">
      <c r="A185" s="52" t="s">
        <v>3</v>
      </c>
      <c r="B185" s="95">
        <v>0.67500000000000004</v>
      </c>
      <c r="C185" s="51">
        <v>0.24329999999999999</v>
      </c>
    </row>
    <row r="186" spans="1:4">
      <c r="A186" s="50" t="s">
        <v>4</v>
      </c>
      <c r="B186" s="95">
        <v>0.80079999999999996</v>
      </c>
      <c r="C186" s="95">
        <v>0.11749999999999999</v>
      </c>
    </row>
    <row r="187" spans="1:4" ht="27.6">
      <c r="A187" s="50" t="s">
        <v>5</v>
      </c>
      <c r="B187" s="95">
        <v>0.82499999999999996</v>
      </c>
      <c r="C187" s="95">
        <v>9.3299999999999994E-2</v>
      </c>
    </row>
    <row r="188" spans="1:4">
      <c r="A188" s="50" t="s">
        <v>6</v>
      </c>
      <c r="B188" s="95">
        <v>0.90800000000000003</v>
      </c>
      <c r="C188" s="95">
        <v>1.0200000000000001E-2</v>
      </c>
    </row>
    <row r="190" spans="1:4">
      <c r="A190" s="39" t="s">
        <v>54</v>
      </c>
    </row>
    <row r="192" spans="1:4">
      <c r="A192" s="39" t="s">
        <v>96</v>
      </c>
    </row>
    <row r="194" spans="1:4">
      <c r="A194" s="39" t="s">
        <v>763</v>
      </c>
    </row>
    <row r="198" spans="1:4">
      <c r="A198" s="91" t="s">
        <v>97</v>
      </c>
    </row>
    <row r="200" spans="1:4">
      <c r="A200" s="39" t="s">
        <v>98</v>
      </c>
    </row>
    <row r="202" spans="1:4" ht="20.399999999999999">
      <c r="A202" s="110" t="s">
        <v>99</v>
      </c>
      <c r="B202" s="66"/>
      <c r="C202" s="66"/>
      <c r="D202" s="73"/>
    </row>
    <row r="203" spans="1:4" ht="20.399999999999999">
      <c r="A203" s="110" t="s">
        <v>100</v>
      </c>
      <c r="B203" s="66"/>
      <c r="C203" s="66"/>
      <c r="D203" s="73"/>
    </row>
    <row r="204" spans="1:4" ht="20.399999999999999">
      <c r="A204" s="110" t="s">
        <v>101</v>
      </c>
      <c r="B204" s="66"/>
      <c r="C204" s="66"/>
      <c r="D204" s="73"/>
    </row>
    <row r="206" spans="1:4">
      <c r="A206" s="39" t="s">
        <v>102</v>
      </c>
    </row>
    <row r="208" spans="1:4" ht="15">
      <c r="A208" s="27" t="s">
        <v>103</v>
      </c>
    </row>
    <row r="210" spans="1:2" ht="18">
      <c r="A210" s="39" t="s">
        <v>104</v>
      </c>
      <c r="B210" s="93" t="s">
        <v>778</v>
      </c>
    </row>
    <row r="211" spans="1:2">
      <c r="A211" s="93"/>
    </row>
    <row r="214" spans="1:2">
      <c r="A214" s="39" t="s">
        <v>105</v>
      </c>
    </row>
    <row r="218" spans="1:2">
      <c r="A218" s="91" t="s">
        <v>106</v>
      </c>
    </row>
    <row r="220" spans="1:2">
      <c r="A220" s="39" t="s">
        <v>764</v>
      </c>
    </row>
    <row r="222" spans="1:2" ht="15">
      <c r="A222" s="33" t="s">
        <v>107</v>
      </c>
      <c r="B222" s="96"/>
    </row>
    <row r="223" spans="1:2" ht="15">
      <c r="A223" s="33" t="s">
        <v>108</v>
      </c>
      <c r="B223" s="96"/>
    </row>
    <row r="225" spans="1:1" ht="15">
      <c r="A225" s="27" t="s">
        <v>109</v>
      </c>
    </row>
    <row r="226" spans="1:1" ht="15">
      <c r="A226" s="27" t="s">
        <v>110</v>
      </c>
    </row>
    <row r="227" spans="1:1" ht="15">
      <c r="A227" s="27" t="s">
        <v>109</v>
      </c>
    </row>
    <row r="229" spans="1:1" ht="15">
      <c r="A229" s="36" t="s">
        <v>111</v>
      </c>
    </row>
    <row r="230" spans="1:1" ht="15">
      <c r="A230" s="27" t="s">
        <v>112</v>
      </c>
    </row>
    <row r="231" spans="1:1" ht="15">
      <c r="A231" s="27" t="s">
        <v>113</v>
      </c>
    </row>
    <row r="233" spans="1:1" ht="15">
      <c r="A233" s="27" t="s">
        <v>114</v>
      </c>
    </row>
    <row r="234" spans="1:1" ht="15">
      <c r="A234" s="27" t="s">
        <v>115</v>
      </c>
    </row>
    <row r="235" spans="1:1" ht="15">
      <c r="A235" s="27" t="s">
        <v>116</v>
      </c>
    </row>
    <row r="237" spans="1:1" ht="15">
      <c r="A237" s="27" t="s">
        <v>117</v>
      </c>
    </row>
    <row r="238" spans="1:1" ht="15">
      <c r="A238" s="27" t="s">
        <v>118</v>
      </c>
    </row>
    <row r="239" spans="1:1" ht="15">
      <c r="A239" s="27" t="s">
        <v>119</v>
      </c>
    </row>
    <row r="241" spans="1:2" ht="15">
      <c r="A241" s="27" t="s">
        <v>120</v>
      </c>
    </row>
    <row r="242" spans="1:2" ht="15">
      <c r="A242" s="27" t="s">
        <v>121</v>
      </c>
    </row>
    <row r="243" spans="1:2" ht="15">
      <c r="A243" s="27" t="s">
        <v>122</v>
      </c>
    </row>
    <row r="245" spans="1:2" ht="15">
      <c r="A245" s="27" t="s">
        <v>123</v>
      </c>
    </row>
    <row r="246" spans="1:2" ht="15">
      <c r="A246" s="27" t="s">
        <v>124</v>
      </c>
    </row>
    <row r="247" spans="1:2" ht="15">
      <c r="A247" s="27" t="s">
        <v>125</v>
      </c>
    </row>
    <row r="249" spans="1:2" ht="15">
      <c r="A249" s="27" t="s">
        <v>126</v>
      </c>
    </row>
    <row r="250" spans="1:2" ht="15">
      <c r="A250" s="27" t="s">
        <v>127</v>
      </c>
    </row>
    <row r="251" spans="1:2" ht="15">
      <c r="A251" s="27" t="s">
        <v>128</v>
      </c>
    </row>
    <row r="252" spans="1:2" ht="15">
      <c r="A252" s="27" t="s">
        <v>129</v>
      </c>
    </row>
    <row r="254" spans="1:2" ht="15">
      <c r="A254" s="36" t="s">
        <v>130</v>
      </c>
      <c r="B254" s="97"/>
    </row>
    <row r="256" spans="1:2" ht="15">
      <c r="A256" s="27" t="s">
        <v>131</v>
      </c>
    </row>
    <row r="260" spans="1:4">
      <c r="A260" s="91" t="s">
        <v>132</v>
      </c>
    </row>
    <row r="262" spans="1:4" ht="15">
      <c r="A262" s="35" t="s">
        <v>133</v>
      </c>
      <c r="B262" s="98"/>
      <c r="C262" s="98"/>
      <c r="D262" s="98"/>
    </row>
    <row r="263" spans="1:4" ht="15">
      <c r="A263" s="35" t="s">
        <v>134</v>
      </c>
      <c r="B263" s="98"/>
      <c r="C263" s="98"/>
      <c r="D263" s="98"/>
    </row>
    <row r="264" spans="1:4" ht="15">
      <c r="A264" s="33" t="s">
        <v>135</v>
      </c>
      <c r="B264" s="96"/>
      <c r="C264" s="96"/>
      <c r="D264" s="96"/>
    </row>
    <row r="265" spans="1:4" ht="15">
      <c r="A265" s="33" t="s">
        <v>136</v>
      </c>
      <c r="B265" s="96"/>
      <c r="C265" s="96"/>
      <c r="D265" s="96"/>
    </row>
    <row r="266" spans="1:4" ht="15">
      <c r="A266" s="33" t="s">
        <v>134</v>
      </c>
      <c r="B266" s="96"/>
      <c r="C266" s="96"/>
      <c r="D266" s="96"/>
    </row>
    <row r="267" spans="1:4" ht="15">
      <c r="A267" s="34" t="s">
        <v>137</v>
      </c>
      <c r="B267" s="99"/>
      <c r="C267" s="99"/>
      <c r="D267" s="99"/>
    </row>
    <row r="268" spans="1:4" ht="15">
      <c r="A268" s="34" t="s">
        <v>134</v>
      </c>
      <c r="B268" s="99"/>
      <c r="C268" s="99"/>
      <c r="D268" s="99"/>
    </row>
    <row r="269" spans="1:4" ht="15">
      <c r="A269" s="34" t="s">
        <v>138</v>
      </c>
      <c r="B269" s="99"/>
      <c r="C269" s="99"/>
      <c r="D269" s="99"/>
    </row>
    <row r="270" spans="1:4" ht="15">
      <c r="A270" s="34" t="s">
        <v>139</v>
      </c>
      <c r="B270" s="99"/>
      <c r="C270" s="99"/>
      <c r="D270" s="99"/>
    </row>
    <row r="271" spans="1:4" ht="15">
      <c r="A271" s="34" t="s">
        <v>140</v>
      </c>
      <c r="B271" s="99"/>
      <c r="C271" s="99"/>
      <c r="D271" s="99"/>
    </row>
    <row r="272" spans="1:4" ht="15">
      <c r="A272" s="34" t="s">
        <v>134</v>
      </c>
      <c r="B272" s="99"/>
      <c r="C272" s="99"/>
      <c r="D272" s="99"/>
    </row>
    <row r="273" spans="1:4" ht="15">
      <c r="A273" s="34" t="s">
        <v>141</v>
      </c>
      <c r="B273" s="99"/>
      <c r="C273" s="99"/>
      <c r="D273" s="99"/>
    </row>
    <row r="275" spans="1:4">
      <c r="A275" s="39" t="s">
        <v>142</v>
      </c>
    </row>
    <row r="277" spans="1:4" ht="15">
      <c r="A277" s="33" t="s">
        <v>143</v>
      </c>
      <c r="B277" s="96"/>
      <c r="C277" s="96"/>
    </row>
    <row r="278" spans="1:4">
      <c r="A278" s="96"/>
      <c r="B278" s="96"/>
      <c r="C278" s="96"/>
    </row>
    <row r="279" spans="1:4" ht="15">
      <c r="A279" s="33" t="s">
        <v>144</v>
      </c>
      <c r="B279" s="96"/>
      <c r="C279" s="96"/>
    </row>
    <row r="281" spans="1:4">
      <c r="A281" s="39" t="s">
        <v>145</v>
      </c>
    </row>
    <row r="283" spans="1:4" ht="15">
      <c r="A283" s="32" t="s">
        <v>146</v>
      </c>
      <c r="B283" s="100"/>
      <c r="C283" s="100"/>
      <c r="D283" s="100"/>
    </row>
    <row r="285" spans="1:4">
      <c r="A285" s="39" t="s">
        <v>54</v>
      </c>
    </row>
    <row r="287" spans="1:4">
      <c r="A287" s="39" t="s">
        <v>147</v>
      </c>
    </row>
    <row r="290" spans="1:3">
      <c r="A290" s="91" t="s">
        <v>148</v>
      </c>
    </row>
    <row r="292" spans="1:3" ht="15">
      <c r="A292" s="27" t="s">
        <v>765</v>
      </c>
    </row>
    <row r="293" spans="1:3" ht="15">
      <c r="A293" s="27" t="s">
        <v>134</v>
      </c>
    </row>
    <row r="294" spans="1:3" ht="15">
      <c r="A294" s="27" t="s">
        <v>149</v>
      </c>
    </row>
    <row r="295" spans="1:3" ht="15">
      <c r="A295" s="36" t="s">
        <v>150</v>
      </c>
      <c r="B295" s="97"/>
      <c r="C295" s="97"/>
    </row>
    <row r="296" spans="1:3" ht="15">
      <c r="A296" s="27" t="s">
        <v>134</v>
      </c>
    </row>
    <row r="297" spans="1:3" ht="15">
      <c r="A297" s="27" t="s">
        <v>151</v>
      </c>
    </row>
    <row r="298" spans="1:3" ht="15">
      <c r="A298" s="27" t="s">
        <v>152</v>
      </c>
    </row>
    <row r="299" spans="1:3" ht="15">
      <c r="A299" s="27" t="s">
        <v>134</v>
      </c>
    </row>
    <row r="300" spans="1:3" ht="15">
      <c r="A300" s="27" t="s">
        <v>766</v>
      </c>
    </row>
    <row r="301" spans="1:3" ht="15">
      <c r="A301" s="27" t="s">
        <v>153</v>
      </c>
    </row>
    <row r="302" spans="1:3" ht="15">
      <c r="A302" s="27" t="s">
        <v>154</v>
      </c>
    </row>
    <row r="303" spans="1:3" ht="15">
      <c r="A303" s="27" t="s">
        <v>153</v>
      </c>
    </row>
    <row r="304" spans="1:3" ht="15">
      <c r="A304" s="27" t="s">
        <v>155</v>
      </c>
    </row>
    <row r="305" spans="1:1" ht="15">
      <c r="A305" s="27" t="s">
        <v>153</v>
      </c>
    </row>
    <row r="306" spans="1:1" ht="15">
      <c r="A306" s="27" t="s">
        <v>156</v>
      </c>
    </row>
    <row r="307" spans="1:1" ht="15">
      <c r="A307" s="27" t="s">
        <v>153</v>
      </c>
    </row>
    <row r="308" spans="1:1" ht="15">
      <c r="A308" s="27" t="s">
        <v>157</v>
      </c>
    </row>
    <row r="309" spans="1:1" ht="15">
      <c r="A309" s="27" t="s">
        <v>158</v>
      </c>
    </row>
    <row r="310" spans="1:1" ht="15">
      <c r="A310" s="27" t="s">
        <v>159</v>
      </c>
    </row>
    <row r="311" spans="1:1" ht="15">
      <c r="A311" s="27" t="s">
        <v>160</v>
      </c>
    </row>
    <row r="312" spans="1:1" ht="15">
      <c r="A312" s="27" t="s">
        <v>161</v>
      </c>
    </row>
    <row r="313" spans="1:1" ht="15">
      <c r="A313" s="27" t="s">
        <v>134</v>
      </c>
    </row>
    <row r="314" spans="1:1" ht="15">
      <c r="A314" s="27" t="s">
        <v>162</v>
      </c>
    </row>
    <row r="315" spans="1:1" ht="15">
      <c r="A315" s="27" t="s">
        <v>134</v>
      </c>
    </row>
    <row r="316" spans="1:1" ht="15">
      <c r="A316" s="27" t="s">
        <v>163</v>
      </c>
    </row>
    <row r="320" spans="1:1">
      <c r="A320" s="91" t="s">
        <v>164</v>
      </c>
    </row>
    <row r="322" spans="1:1" ht="15">
      <c r="A322" s="27" t="s">
        <v>767</v>
      </c>
    </row>
    <row r="324" spans="1:1" ht="15">
      <c r="A324" s="27" t="s">
        <v>165</v>
      </c>
    </row>
    <row r="326" spans="1:1">
      <c r="A326" s="39" t="s">
        <v>166</v>
      </c>
    </row>
    <row r="328" spans="1:1" ht="15">
      <c r="A328" s="27" t="s">
        <v>167</v>
      </c>
    </row>
    <row r="329" spans="1:1" ht="15">
      <c r="A329" s="27" t="s">
        <v>168</v>
      </c>
    </row>
    <row r="330" spans="1:1" ht="15">
      <c r="A330" s="27" t="s">
        <v>169</v>
      </c>
    </row>
    <row r="332" spans="1:1" ht="15">
      <c r="A332" s="27" t="s">
        <v>170</v>
      </c>
    </row>
    <row r="336" spans="1:1">
      <c r="A336" s="91" t="s">
        <v>171</v>
      </c>
    </row>
    <row r="338" spans="1:1" ht="15">
      <c r="A338" s="27" t="s">
        <v>172</v>
      </c>
    </row>
    <row r="340" spans="1:1" ht="15">
      <c r="A340" s="27" t="s">
        <v>173</v>
      </c>
    </row>
    <row r="341" spans="1:1" ht="15">
      <c r="A341" s="27" t="s">
        <v>134</v>
      </c>
    </row>
    <row r="342" spans="1:1" ht="15">
      <c r="A342" s="27" t="s">
        <v>174</v>
      </c>
    </row>
    <row r="343" spans="1:1" ht="15">
      <c r="A343" s="27" t="s">
        <v>134</v>
      </c>
    </row>
    <row r="344" spans="1:1" ht="15">
      <c r="A344" s="27" t="s">
        <v>175</v>
      </c>
    </row>
    <row r="345" spans="1:1" ht="15">
      <c r="A345" s="27" t="s">
        <v>176</v>
      </c>
    </row>
    <row r="346" spans="1:1" ht="15">
      <c r="A346" s="27" t="s">
        <v>177</v>
      </c>
    </row>
    <row r="348" spans="1:1">
      <c r="A348" s="39" t="s">
        <v>178</v>
      </c>
    </row>
    <row r="350" spans="1:1" ht="15">
      <c r="A350" s="27" t="s">
        <v>172</v>
      </c>
    </row>
    <row r="352" spans="1:1" ht="15">
      <c r="A352" s="27" t="s">
        <v>179</v>
      </c>
    </row>
    <row r="354" spans="1:1" ht="15">
      <c r="A354" s="27" t="s">
        <v>173</v>
      </c>
    </row>
    <row r="355" spans="1:1" ht="15">
      <c r="A355" s="27" t="s">
        <v>134</v>
      </c>
    </row>
    <row r="356" spans="1:1" ht="15">
      <c r="A356" s="27" t="s">
        <v>174</v>
      </c>
    </row>
    <row r="357" spans="1:1" ht="15">
      <c r="A357" s="27" t="s">
        <v>134</v>
      </c>
    </row>
    <row r="358" spans="1:1" ht="15">
      <c r="A358" s="27" t="s">
        <v>180</v>
      </c>
    </row>
    <row r="359" spans="1:1" ht="15">
      <c r="A359" s="27" t="s">
        <v>181</v>
      </c>
    </row>
    <row r="360" spans="1:1" ht="15">
      <c r="A360" s="27" t="s">
        <v>182</v>
      </c>
    </row>
    <row r="361" spans="1:1" ht="15">
      <c r="A361" s="27" t="s">
        <v>183</v>
      </c>
    </row>
    <row r="363" spans="1:1" ht="15">
      <c r="A363" s="27" t="s">
        <v>184</v>
      </c>
    </row>
    <row r="365" spans="1:1" ht="15">
      <c r="A365" s="27" t="s">
        <v>185</v>
      </c>
    </row>
    <row r="367" spans="1:1">
      <c r="A367" s="39" t="s">
        <v>186</v>
      </c>
    </row>
    <row r="369" spans="1:1" ht="15">
      <c r="A369" s="27" t="s">
        <v>187</v>
      </c>
    </row>
    <row r="370" spans="1:1" ht="15">
      <c r="A370" s="27" t="s">
        <v>188</v>
      </c>
    </row>
    <row r="371" spans="1:1" ht="15">
      <c r="A371" s="27" t="s">
        <v>189</v>
      </c>
    </row>
    <row r="372" spans="1:1" ht="15">
      <c r="A372" s="27" t="s">
        <v>190</v>
      </c>
    </row>
    <row r="373" spans="1:1" ht="15">
      <c r="A373" s="27" t="s">
        <v>191</v>
      </c>
    </row>
    <row r="377" spans="1:1">
      <c r="A377" s="91" t="s">
        <v>192</v>
      </c>
    </row>
    <row r="379" spans="1:1">
      <c r="A379" s="39" t="s">
        <v>193</v>
      </c>
    </row>
    <row r="381" spans="1:1" ht="15">
      <c r="A381" s="27" t="s">
        <v>107</v>
      </c>
    </row>
    <row r="382" spans="1:1" ht="15">
      <c r="A382" s="27" t="s">
        <v>108</v>
      </c>
    </row>
    <row r="384" spans="1:1" ht="15">
      <c r="A384" s="27" t="s">
        <v>194</v>
      </c>
    </row>
    <row r="385" spans="1:1" ht="15">
      <c r="A385" s="27" t="s">
        <v>195</v>
      </c>
    </row>
    <row r="386" spans="1:1" ht="15">
      <c r="A386" s="27" t="s">
        <v>194</v>
      </c>
    </row>
    <row r="388" spans="1:1" ht="15">
      <c r="A388" s="27" t="s">
        <v>111</v>
      </c>
    </row>
    <row r="389" spans="1:1" ht="15">
      <c r="A389" s="27" t="s">
        <v>114</v>
      </c>
    </row>
    <row r="390" spans="1:1" ht="15">
      <c r="A390" s="27" t="s">
        <v>115</v>
      </c>
    </row>
    <row r="391" spans="1:1" ht="15">
      <c r="A391" s="27" t="s">
        <v>116</v>
      </c>
    </row>
    <row r="393" spans="1:1" ht="15">
      <c r="A393" s="27" t="s">
        <v>117</v>
      </c>
    </row>
    <row r="394" spans="1:1" ht="15">
      <c r="A394" s="27" t="s">
        <v>118</v>
      </c>
    </row>
    <row r="395" spans="1:1" ht="15">
      <c r="A395" s="27" t="s">
        <v>119</v>
      </c>
    </row>
    <row r="397" spans="1:1" ht="15">
      <c r="A397" s="27" t="s">
        <v>120</v>
      </c>
    </row>
    <row r="398" spans="1:1" ht="15">
      <c r="A398" s="27" t="s">
        <v>121</v>
      </c>
    </row>
    <row r="399" spans="1:1" ht="15">
      <c r="A399" s="27" t="s">
        <v>122</v>
      </c>
    </row>
    <row r="401" spans="1:1" ht="15">
      <c r="A401" s="27" t="s">
        <v>123</v>
      </c>
    </row>
    <row r="402" spans="1:1" ht="15">
      <c r="A402" s="27" t="s">
        <v>124</v>
      </c>
    </row>
    <row r="403" spans="1:1" ht="15">
      <c r="A403" s="27" t="s">
        <v>125</v>
      </c>
    </row>
    <row r="405" spans="1:1" ht="15">
      <c r="A405" s="27" t="s">
        <v>126</v>
      </c>
    </row>
    <row r="406" spans="1:1" ht="15">
      <c r="A406" s="27" t="s">
        <v>127</v>
      </c>
    </row>
    <row r="407" spans="1:1" ht="15">
      <c r="A407" s="27" t="s">
        <v>128</v>
      </c>
    </row>
    <row r="408" spans="1:1" ht="15">
      <c r="A408" s="27" t="s">
        <v>129</v>
      </c>
    </row>
    <row r="410" spans="1:1" ht="15">
      <c r="A410" s="27" t="s">
        <v>130</v>
      </c>
    </row>
    <row r="413" spans="1:1" ht="15">
      <c r="A413" s="27" t="s">
        <v>194</v>
      </c>
    </row>
    <row r="414" spans="1:1" ht="15">
      <c r="A414" s="27" t="s">
        <v>196</v>
      </c>
    </row>
    <row r="415" spans="1:1" ht="15">
      <c r="A415" s="27" t="s">
        <v>194</v>
      </c>
    </row>
    <row r="417" spans="1:1" ht="15">
      <c r="A417" s="27" t="s">
        <v>197</v>
      </c>
    </row>
    <row r="418" spans="1:1" ht="15">
      <c r="A418" s="27" t="s">
        <v>134</v>
      </c>
    </row>
    <row r="419" spans="1:1" ht="15">
      <c r="A419" s="27" t="s">
        <v>198</v>
      </c>
    </row>
    <row r="420" spans="1:1" ht="15">
      <c r="A420" s="27" t="s">
        <v>199</v>
      </c>
    </row>
    <row r="421" spans="1:1" ht="15">
      <c r="A421" s="27" t="s">
        <v>134</v>
      </c>
    </row>
    <row r="422" spans="1:1" ht="15">
      <c r="A422" s="27" t="s">
        <v>200</v>
      </c>
    </row>
    <row r="423" spans="1:1" ht="15">
      <c r="A423" s="27" t="s">
        <v>134</v>
      </c>
    </row>
    <row r="424" spans="1:1" ht="15">
      <c r="A424" s="27" t="s">
        <v>138</v>
      </c>
    </row>
    <row r="425" spans="1:1" ht="15">
      <c r="A425" s="27" t="s">
        <v>153</v>
      </c>
    </row>
    <row r="426" spans="1:1" ht="15">
      <c r="A426" s="27" t="s">
        <v>201</v>
      </c>
    </row>
    <row r="427" spans="1:1" ht="15">
      <c r="A427" s="27" t="s">
        <v>153</v>
      </c>
    </row>
    <row r="428" spans="1:1" ht="15">
      <c r="A428" s="27" t="s">
        <v>202</v>
      </c>
    </row>
    <row r="429" spans="1:1" ht="15">
      <c r="A429" s="27" t="s">
        <v>134</v>
      </c>
    </row>
    <row r="430" spans="1:1" ht="15">
      <c r="A430" s="27" t="s">
        <v>203</v>
      </c>
    </row>
    <row r="433" spans="1:1" ht="15">
      <c r="A433" s="27" t="s">
        <v>194</v>
      </c>
    </row>
    <row r="434" spans="1:1" ht="15">
      <c r="A434" s="27" t="s">
        <v>204</v>
      </c>
    </row>
    <row r="435" spans="1:1" ht="15">
      <c r="A435" s="27" t="s">
        <v>194</v>
      </c>
    </row>
    <row r="437" spans="1:1" ht="15">
      <c r="A437" s="27" t="s">
        <v>205</v>
      </c>
    </row>
    <row r="438" spans="1:1" ht="15">
      <c r="A438" s="27" t="s">
        <v>134</v>
      </c>
    </row>
    <row r="439" spans="1:1" ht="15">
      <c r="A439" s="27" t="s">
        <v>206</v>
      </c>
    </row>
    <row r="440" spans="1:1" ht="15">
      <c r="A440" s="27" t="s">
        <v>134</v>
      </c>
    </row>
    <row r="441" spans="1:1" ht="15">
      <c r="A441" s="27" t="s">
        <v>152</v>
      </c>
    </row>
    <row r="442" spans="1:1" ht="15">
      <c r="A442" s="27" t="s">
        <v>134</v>
      </c>
    </row>
    <row r="443" spans="1:1" ht="15">
      <c r="A443" s="27" t="s">
        <v>207</v>
      </c>
    </row>
    <row r="444" spans="1:1" ht="15">
      <c r="A444" s="27" t="s">
        <v>153</v>
      </c>
    </row>
    <row r="445" spans="1:1" ht="15">
      <c r="A445" s="27" t="s">
        <v>208</v>
      </c>
    </row>
    <row r="446" spans="1:1" ht="15">
      <c r="A446" s="27" t="s">
        <v>153</v>
      </c>
    </row>
    <row r="447" spans="1:1" ht="15">
      <c r="A447" s="27" t="s">
        <v>209</v>
      </c>
    </row>
    <row r="448" spans="1:1" ht="15">
      <c r="A448" s="27" t="s">
        <v>153</v>
      </c>
    </row>
    <row r="449" spans="1:1" ht="15">
      <c r="A449" s="27" t="s">
        <v>210</v>
      </c>
    </row>
    <row r="450" spans="1:1" ht="15">
      <c r="A450" s="27" t="s">
        <v>134</v>
      </c>
    </row>
    <row r="451" spans="1:1" ht="15">
      <c r="A451" s="27" t="s">
        <v>211</v>
      </c>
    </row>
    <row r="452" spans="1:1" ht="15">
      <c r="A452" s="27" t="s">
        <v>134</v>
      </c>
    </row>
    <row r="453" spans="1:1" ht="15">
      <c r="A453" s="27" t="s">
        <v>163</v>
      </c>
    </row>
    <row r="456" spans="1:1" ht="15">
      <c r="A456" s="27" t="s">
        <v>194</v>
      </c>
    </row>
    <row r="457" spans="1:1" ht="15">
      <c r="A457" s="27" t="s">
        <v>212</v>
      </c>
    </row>
    <row r="458" spans="1:1" ht="15">
      <c r="A458" s="27" t="s">
        <v>194</v>
      </c>
    </row>
    <row r="460" spans="1:1" ht="15">
      <c r="A460" s="27" t="s">
        <v>213</v>
      </c>
    </row>
    <row r="461" spans="1:1" ht="15">
      <c r="A461" s="27" t="s">
        <v>214</v>
      </c>
    </row>
    <row r="464" spans="1:1" ht="15">
      <c r="A464" s="27" t="s">
        <v>194</v>
      </c>
    </row>
    <row r="465" spans="1:1" ht="15">
      <c r="A465" s="27" t="s">
        <v>215</v>
      </c>
    </row>
    <row r="466" spans="1:1" ht="15">
      <c r="A466" s="27" t="s">
        <v>194</v>
      </c>
    </row>
    <row r="468" spans="1:1" ht="15">
      <c r="A468" s="27" t="s">
        <v>172</v>
      </c>
    </row>
    <row r="470" spans="1:1" ht="15">
      <c r="A470" s="27" t="s">
        <v>216</v>
      </c>
    </row>
    <row r="472" spans="1:1" ht="15">
      <c r="A472" s="27" t="s">
        <v>173</v>
      </c>
    </row>
    <row r="473" spans="1:1" ht="15">
      <c r="A473" s="27" t="s">
        <v>134</v>
      </c>
    </row>
    <row r="474" spans="1:1" ht="15">
      <c r="A474" s="27" t="s">
        <v>217</v>
      </c>
    </row>
    <row r="475" spans="1:1" ht="15">
      <c r="A475" s="27" t="s">
        <v>134</v>
      </c>
    </row>
    <row r="476" spans="1:1" ht="15">
      <c r="A476" s="27" t="s">
        <v>218</v>
      </c>
    </row>
    <row r="478" spans="1:1">
      <c r="A478" s="39" t="s">
        <v>145</v>
      </c>
    </row>
    <row r="480" spans="1:1" ht="15">
      <c r="A480" s="27" t="s">
        <v>219</v>
      </c>
    </row>
    <row r="481" spans="1:1" ht="15">
      <c r="A481" s="27">
        <v>0.91830000000000001</v>
      </c>
    </row>
    <row r="483" spans="1:1" ht="15">
      <c r="A483" s="27" t="s">
        <v>220</v>
      </c>
    </row>
    <row r="484" spans="1:1" ht="15">
      <c r="A484" s="27" t="s">
        <v>221</v>
      </c>
    </row>
    <row r="485" spans="1:1" ht="15">
      <c r="A485" s="27" t="s">
        <v>222</v>
      </c>
    </row>
    <row r="486" spans="1:1" ht="15">
      <c r="A486" s="27" t="s">
        <v>223</v>
      </c>
    </row>
    <row r="487" spans="1:1" ht="15">
      <c r="A487" s="27" t="s">
        <v>224</v>
      </c>
    </row>
    <row r="491" spans="1:1">
      <c r="A491" s="91" t="s">
        <v>225</v>
      </c>
    </row>
    <row r="493" spans="1:1">
      <c r="A493" s="39" t="s">
        <v>226</v>
      </c>
    </row>
    <row r="495" spans="1:1" ht="15">
      <c r="A495" s="27" t="s">
        <v>227</v>
      </c>
    </row>
    <row r="496" spans="1:1" ht="15">
      <c r="A496" s="27" t="s">
        <v>228</v>
      </c>
    </row>
    <row r="497" spans="1:1" ht="15">
      <c r="A497" s="27" t="s">
        <v>229</v>
      </c>
    </row>
    <row r="498" spans="1:1" ht="15">
      <c r="A498" s="27" t="s">
        <v>230</v>
      </c>
    </row>
    <row r="499" spans="1:1" ht="15">
      <c r="A499" s="27" t="s">
        <v>231</v>
      </c>
    </row>
    <row r="500" spans="1:1" ht="15">
      <c r="A500" s="27" t="s">
        <v>232</v>
      </c>
    </row>
    <row r="501" spans="1:1" ht="15">
      <c r="A501" s="27" t="s">
        <v>233</v>
      </c>
    </row>
    <row r="502" spans="1:1" ht="15">
      <c r="A502" s="27" t="s">
        <v>234</v>
      </c>
    </row>
    <row r="503" spans="1:1" ht="15">
      <c r="A503" s="27" t="s">
        <v>235</v>
      </c>
    </row>
    <row r="505" spans="1:1">
      <c r="A505" s="39" t="s">
        <v>54</v>
      </c>
    </row>
    <row r="507" spans="1:1">
      <c r="A507" s="91" t="s">
        <v>236</v>
      </c>
    </row>
    <row r="509" spans="1:1">
      <c r="A509" s="39" t="s">
        <v>237</v>
      </c>
    </row>
    <row r="511" spans="1:1">
      <c r="A511" s="39" t="s">
        <v>238</v>
      </c>
    </row>
    <row r="513" spans="1:2">
      <c r="A513" s="39" t="s">
        <v>239</v>
      </c>
    </row>
    <row r="515" spans="1:2">
      <c r="A515" s="39" t="s">
        <v>240</v>
      </c>
    </row>
    <row r="518" spans="1:2">
      <c r="A518" s="91" t="s">
        <v>241</v>
      </c>
    </row>
    <row r="520" spans="1:2">
      <c r="A520" s="39" t="s">
        <v>768</v>
      </c>
    </row>
    <row r="521" spans="1:2">
      <c r="A521" s="39" t="s">
        <v>736</v>
      </c>
    </row>
    <row r="522" spans="1:2">
      <c r="A522" s="39" t="s">
        <v>769</v>
      </c>
    </row>
    <row r="524" spans="1:2" ht="27.6">
      <c r="A524" s="101" t="s">
        <v>242</v>
      </c>
      <c r="B524" s="102" t="s">
        <v>75</v>
      </c>
    </row>
    <row r="525" spans="1:2" ht="55.2">
      <c r="A525" s="103" t="s">
        <v>243</v>
      </c>
      <c r="B525" s="102">
        <v>0.91830000000000001</v>
      </c>
    </row>
    <row r="526" spans="1:2" ht="41.4">
      <c r="A526" s="103" t="s">
        <v>244</v>
      </c>
      <c r="B526" s="102">
        <v>0.24329999999999999</v>
      </c>
    </row>
    <row r="527" spans="1:2" ht="27.6">
      <c r="A527" s="103" t="s">
        <v>245</v>
      </c>
      <c r="B527" s="102">
        <v>0.11749999999999999</v>
      </c>
    </row>
    <row r="528" spans="1:2" ht="41.4">
      <c r="A528" s="103" t="s">
        <v>246</v>
      </c>
      <c r="B528" s="102">
        <v>9.3299999999999994E-2</v>
      </c>
    </row>
    <row r="529" spans="1:2" ht="27.6">
      <c r="A529" s="103" t="s">
        <v>247</v>
      </c>
      <c r="B529" s="102">
        <v>1.0200000000000001E-2</v>
      </c>
    </row>
    <row r="530" spans="1:2" ht="27.6">
      <c r="A530" s="104" t="s">
        <v>248</v>
      </c>
      <c r="B530" s="102" t="s">
        <v>3</v>
      </c>
    </row>
    <row r="532" spans="1:2" ht="15">
      <c r="A532" s="39" t="s">
        <v>770</v>
      </c>
    </row>
    <row r="534" spans="1:2">
      <c r="A534" s="39" t="s">
        <v>249</v>
      </c>
    </row>
    <row r="536" spans="1:2">
      <c r="A536" s="39" t="s">
        <v>771</v>
      </c>
    </row>
    <row r="538" spans="1:2">
      <c r="A538" s="39" t="s">
        <v>251</v>
      </c>
    </row>
    <row r="539" spans="1:2">
      <c r="A539" s="93"/>
    </row>
    <row r="540" spans="1:2">
      <c r="A540" s="94" t="s">
        <v>772</v>
      </c>
    </row>
    <row r="541" spans="1:2">
      <c r="A541" s="93"/>
    </row>
    <row r="542" spans="1:2">
      <c r="A542" s="94" t="s">
        <v>773</v>
      </c>
    </row>
    <row r="543" spans="1:2">
      <c r="A543" s="93"/>
    </row>
    <row r="544" spans="1:2">
      <c r="A544" s="94" t="s">
        <v>774</v>
      </c>
    </row>
    <row r="545" spans="1:14">
      <c r="A545" s="93"/>
    </row>
    <row r="546" spans="1:14">
      <c r="A546" s="94" t="s">
        <v>775</v>
      </c>
    </row>
    <row r="547" spans="1:14">
      <c r="A547" s="93"/>
    </row>
    <row r="548" spans="1:14">
      <c r="A548" s="94" t="s">
        <v>776</v>
      </c>
    </row>
    <row r="550" spans="1:14">
      <c r="A550" s="39" t="s">
        <v>257</v>
      </c>
    </row>
    <row r="552" spans="1:14">
      <c r="A552" s="39" t="s">
        <v>777</v>
      </c>
    </row>
    <row r="553" spans="1:14">
      <c r="A553" s="39" t="s">
        <v>259</v>
      </c>
    </row>
    <row r="555" spans="1:14" ht="14.4" thickBot="1">
      <c r="A555" s="100" t="s">
        <v>260</v>
      </c>
      <c r="B555" s="39" t="s">
        <v>737</v>
      </c>
      <c r="C555" s="100"/>
      <c r="D555" s="100"/>
      <c r="E555" s="100"/>
      <c r="F555" s="100"/>
      <c r="G555" s="100"/>
      <c r="I555" s="105">
        <v>2</v>
      </c>
      <c r="J555" s="100" t="s">
        <v>738</v>
      </c>
      <c r="K555" s="100"/>
      <c r="L555" s="100"/>
      <c r="M555" s="100"/>
      <c r="N555" s="100"/>
    </row>
    <row r="556" spans="1:14" ht="14.4" thickBot="1">
      <c r="A556" s="100" t="s">
        <v>46</v>
      </c>
      <c r="B556" s="100"/>
      <c r="C556" s="100"/>
      <c r="D556" s="100"/>
      <c r="E556" s="100"/>
      <c r="F556" s="100"/>
      <c r="G556" s="100"/>
      <c r="I556" s="106" t="s">
        <v>739</v>
      </c>
      <c r="J556" s="106" t="s">
        <v>47</v>
      </c>
    </row>
    <row r="557" spans="1:14" ht="15">
      <c r="B557" s="27"/>
    </row>
    <row r="558" spans="1:14" ht="15">
      <c r="B558" s="27"/>
    </row>
    <row r="622" spans="1:1">
      <c r="A622" s="91"/>
    </row>
    <row r="634" spans="1:1">
      <c r="A634" s="91"/>
    </row>
    <row r="641" spans="1:1">
      <c r="A641" s="107"/>
    </row>
  </sheetData>
  <pageMargins left="0.7" right="0.7" top="0.75" bottom="0.75" header="0.3" footer="0.3"/>
  <pageSetup orientation="portrait" horizontalDpi="4294967294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33"/>
  <sheetViews>
    <sheetView topLeftCell="A820" workbookViewId="0">
      <selection activeCell="A156" sqref="A156"/>
    </sheetView>
  </sheetViews>
  <sheetFormatPr defaultRowHeight="14.4"/>
  <sheetData>
    <row r="1" spans="1:4">
      <c r="A1" s="28" t="s">
        <v>261</v>
      </c>
      <c r="B1" s="28"/>
      <c r="C1" s="28"/>
      <c r="D1" s="28"/>
    </row>
    <row r="2" spans="1:4">
      <c r="A2" s="28"/>
      <c r="B2" s="28"/>
      <c r="C2" s="28"/>
      <c r="D2" s="28"/>
    </row>
    <row r="3" spans="1:4">
      <c r="A3" s="28" t="s">
        <v>262</v>
      </c>
      <c r="B3" s="28"/>
      <c r="C3" s="28"/>
      <c r="D3" s="28"/>
    </row>
    <row r="4" spans="1:4">
      <c r="A4" s="28"/>
      <c r="B4" s="28"/>
      <c r="C4" s="28"/>
      <c r="D4" s="28"/>
    </row>
    <row r="5" spans="1:4" ht="31.2">
      <c r="A5" s="29" t="s">
        <v>263</v>
      </c>
      <c r="B5" s="28"/>
      <c r="C5" s="28"/>
      <c r="D5" s="28"/>
    </row>
    <row r="6" spans="1:4">
      <c r="A6" s="28"/>
      <c r="B6" s="28"/>
      <c r="C6" s="28"/>
      <c r="D6" s="28"/>
    </row>
    <row r="7" spans="1:4">
      <c r="A7" s="28" t="s">
        <v>264</v>
      </c>
      <c r="B7" s="28"/>
      <c r="C7" s="28"/>
      <c r="D7" s="28"/>
    </row>
    <row r="8" spans="1:4">
      <c r="A8" s="28"/>
      <c r="B8" s="28"/>
      <c r="C8" s="28"/>
      <c r="D8" s="28"/>
    </row>
    <row r="9" spans="1:4" ht="15">
      <c r="A9" s="30" t="s">
        <v>265</v>
      </c>
      <c r="B9" s="28"/>
      <c r="C9" s="28"/>
      <c r="D9" s="28"/>
    </row>
    <row r="10" spans="1:4" ht="15">
      <c r="A10" s="30" t="s">
        <v>266</v>
      </c>
      <c r="B10" s="28"/>
      <c r="C10" s="28"/>
      <c r="D10" s="28"/>
    </row>
    <row r="11" spans="1:4" ht="15">
      <c r="A11" s="30" t="s">
        <v>267</v>
      </c>
      <c r="B11" s="28"/>
      <c r="C11" s="28"/>
      <c r="D11" s="28"/>
    </row>
    <row r="12" spans="1:4" ht="15">
      <c r="A12" s="30" t="s">
        <v>266</v>
      </c>
      <c r="B12" s="28"/>
      <c r="C12" s="28"/>
      <c r="D12" s="28"/>
    </row>
    <row r="13" spans="1:4" ht="15">
      <c r="A13" s="30" t="s">
        <v>268</v>
      </c>
      <c r="B13" s="28"/>
      <c r="C13" s="28"/>
      <c r="D13" s="28"/>
    </row>
    <row r="14" spans="1:4" ht="15">
      <c r="A14" s="30" t="s">
        <v>266</v>
      </c>
      <c r="B14" s="28"/>
      <c r="C14" s="28"/>
      <c r="D14" s="28"/>
    </row>
    <row r="15" spans="1:4" ht="15">
      <c r="A15" s="30" t="s">
        <v>269</v>
      </c>
      <c r="B15" s="28"/>
      <c r="C15" s="28"/>
      <c r="D15" s="28"/>
    </row>
    <row r="16" spans="1:4" ht="15">
      <c r="A16" s="30" t="s">
        <v>266</v>
      </c>
      <c r="B16" s="28"/>
      <c r="C16" s="28"/>
      <c r="D16" s="28"/>
    </row>
    <row r="17" spans="1:4" ht="15">
      <c r="A17" s="30" t="s">
        <v>270</v>
      </c>
      <c r="B17" s="28"/>
      <c r="C17" s="28"/>
      <c r="D17" s="28"/>
    </row>
    <row r="18" spans="1:4" ht="15">
      <c r="A18" s="30" t="s">
        <v>266</v>
      </c>
      <c r="B18" s="28"/>
      <c r="C18" s="28"/>
      <c r="D18" s="28"/>
    </row>
    <row r="19" spans="1:4" ht="15">
      <c r="A19" s="30" t="s">
        <v>271</v>
      </c>
      <c r="B19" s="28"/>
      <c r="C19" s="28"/>
      <c r="D19" s="28"/>
    </row>
    <row r="20" spans="1:4" ht="15">
      <c r="A20" s="30" t="s">
        <v>266</v>
      </c>
      <c r="B20" s="28"/>
      <c r="C20" s="28"/>
      <c r="D20" s="28"/>
    </row>
    <row r="21" spans="1:4" ht="15">
      <c r="A21" s="30" t="s">
        <v>272</v>
      </c>
      <c r="B21" s="28"/>
      <c r="C21" s="28"/>
      <c r="D21" s="28"/>
    </row>
    <row r="22" spans="1:4" ht="15">
      <c r="A22" s="30" t="s">
        <v>266</v>
      </c>
      <c r="B22" s="28"/>
      <c r="C22" s="28"/>
      <c r="D22" s="28"/>
    </row>
    <row r="23" spans="1:4" ht="15">
      <c r="A23" s="30" t="s">
        <v>273</v>
      </c>
      <c r="B23" s="28"/>
      <c r="C23" s="28"/>
      <c r="D23" s="28"/>
    </row>
    <row r="24" spans="1:4" ht="15">
      <c r="A24" s="30" t="s">
        <v>266</v>
      </c>
      <c r="B24" s="28"/>
      <c r="C24" s="28"/>
      <c r="D24" s="28"/>
    </row>
    <row r="25" spans="1:4" ht="15">
      <c r="A25" s="30" t="s">
        <v>274</v>
      </c>
      <c r="B25" s="28"/>
      <c r="C25" s="28"/>
      <c r="D25" s="28"/>
    </row>
    <row r="26" spans="1:4" ht="15">
      <c r="A26" s="30" t="s">
        <v>266</v>
      </c>
      <c r="B26" s="28"/>
      <c r="C26" s="28"/>
      <c r="D26" s="28"/>
    </row>
    <row r="27" spans="1:4" ht="15">
      <c r="A27" s="30" t="s">
        <v>275</v>
      </c>
      <c r="B27" s="28"/>
      <c r="C27" s="28"/>
      <c r="D27" s="28"/>
    </row>
    <row r="28" spans="1:4" ht="15">
      <c r="A28" s="30" t="s">
        <v>266</v>
      </c>
      <c r="B28" s="28"/>
      <c r="C28" s="28"/>
      <c r="D28" s="28"/>
    </row>
    <row r="29" spans="1:4" ht="15">
      <c r="A29" s="30" t="s">
        <v>276</v>
      </c>
      <c r="B29" s="28"/>
      <c r="C29" s="28"/>
      <c r="D29" s="28"/>
    </row>
    <row r="30" spans="1:4" ht="15">
      <c r="A30" s="30" t="s">
        <v>266</v>
      </c>
      <c r="B30" s="28"/>
      <c r="C30" s="28"/>
      <c r="D30" s="28"/>
    </row>
    <row r="31" spans="1:4" ht="15">
      <c r="A31" s="30" t="s">
        <v>277</v>
      </c>
      <c r="B31" s="28"/>
      <c r="C31" s="28"/>
      <c r="D31" s="28"/>
    </row>
    <row r="32" spans="1:4" ht="15">
      <c r="A32" s="30" t="s">
        <v>266</v>
      </c>
      <c r="B32" s="28"/>
      <c r="C32" s="28"/>
      <c r="D32" s="28"/>
    </row>
    <row r="33" spans="1:4" ht="15">
      <c r="A33" s="30" t="s">
        <v>278</v>
      </c>
      <c r="B33" s="28"/>
      <c r="C33" s="28"/>
      <c r="D33" s="28"/>
    </row>
    <row r="34" spans="1:4">
      <c r="A34" s="28"/>
      <c r="B34" s="28"/>
      <c r="C34" s="28"/>
      <c r="D34" s="28"/>
    </row>
    <row r="35" spans="1:4">
      <c r="A35" s="28" t="s">
        <v>279</v>
      </c>
      <c r="B35" s="28"/>
      <c r="C35" s="28"/>
      <c r="D35" s="28"/>
    </row>
    <row r="36" spans="1:4">
      <c r="A36" s="28"/>
      <c r="B36" s="28"/>
      <c r="C36" s="28"/>
      <c r="D36" s="28"/>
    </row>
    <row r="37" spans="1:4">
      <c r="A37" s="28"/>
      <c r="B37" s="28"/>
      <c r="C37" s="28"/>
      <c r="D37" s="28"/>
    </row>
    <row r="38" spans="1:4">
      <c r="A38" s="28"/>
      <c r="B38" s="28"/>
      <c r="C38" s="28"/>
      <c r="D38" s="28"/>
    </row>
    <row r="39" spans="1:4" ht="31.2">
      <c r="A39" s="29" t="s">
        <v>280</v>
      </c>
      <c r="B39" s="28"/>
      <c r="C39" s="28"/>
      <c r="D39" s="28"/>
    </row>
    <row r="40" spans="1:4">
      <c r="A40" s="28"/>
      <c r="B40" s="28"/>
      <c r="C40" s="28"/>
      <c r="D40" s="28"/>
    </row>
    <row r="41" spans="1:4" ht="18">
      <c r="A41" s="31" t="s">
        <v>281</v>
      </c>
      <c r="B41" s="28"/>
      <c r="C41" s="28"/>
      <c r="D41" s="28"/>
    </row>
    <row r="42" spans="1:4">
      <c r="A42" s="28"/>
      <c r="B42" s="28"/>
      <c r="C42" s="28"/>
      <c r="D42" s="28"/>
    </row>
    <row r="43" spans="1:4" ht="15">
      <c r="A43" s="30" t="s">
        <v>107</v>
      </c>
      <c r="B43" s="28"/>
      <c r="C43" s="28"/>
      <c r="D43" s="28"/>
    </row>
    <row r="44" spans="1:4" ht="15">
      <c r="A44" s="30" t="s">
        <v>282</v>
      </c>
      <c r="B44" s="28"/>
      <c r="C44" s="28"/>
      <c r="D44" s="28"/>
    </row>
    <row r="45" spans="1:4" ht="15">
      <c r="A45" s="30" t="s">
        <v>283</v>
      </c>
      <c r="B45" s="28"/>
      <c r="C45" s="28"/>
      <c r="D45" s="28"/>
    </row>
    <row r="46" spans="1:4">
      <c r="A46" s="28"/>
      <c r="B46" s="28"/>
      <c r="C46" s="28"/>
      <c r="D46" s="28"/>
    </row>
    <row r="47" spans="1:4" ht="15">
      <c r="A47" s="30" t="s">
        <v>284</v>
      </c>
      <c r="B47" s="28"/>
      <c r="C47" s="28"/>
      <c r="D47" s="28"/>
    </row>
    <row r="48" spans="1:4" ht="15">
      <c r="A48" s="30" t="s">
        <v>285</v>
      </c>
      <c r="B48" s="28"/>
      <c r="C48" s="28"/>
      <c r="D48" s="28"/>
    </row>
    <row r="49" spans="1:4" ht="15">
      <c r="A49" s="30" t="s">
        <v>286</v>
      </c>
      <c r="B49" s="28"/>
      <c r="C49" s="28"/>
      <c r="D49" s="28"/>
    </row>
    <row r="50" spans="1:4">
      <c r="A50" s="28"/>
      <c r="B50" s="28"/>
      <c r="C50" s="28"/>
      <c r="D50" s="28"/>
    </row>
    <row r="51" spans="1:4" ht="15">
      <c r="A51" s="30" t="s">
        <v>287</v>
      </c>
      <c r="B51" s="28"/>
      <c r="C51" s="28"/>
      <c r="D51" s="28"/>
    </row>
    <row r="52" spans="1:4">
      <c r="A52" s="28"/>
      <c r="B52" s="28"/>
      <c r="C52" s="28"/>
      <c r="D52" s="28"/>
    </row>
    <row r="53" spans="1:4" ht="15">
      <c r="A53" s="30" t="s">
        <v>288</v>
      </c>
      <c r="B53" s="28"/>
      <c r="C53" s="28"/>
      <c r="D53" s="28"/>
    </row>
    <row r="54" spans="1:4" ht="15">
      <c r="A54" s="30" t="s">
        <v>289</v>
      </c>
      <c r="B54" s="28"/>
      <c r="C54" s="28"/>
      <c r="D54" s="28"/>
    </row>
    <row r="55" spans="1:4">
      <c r="A55" s="28"/>
      <c r="B55" s="28"/>
      <c r="C55" s="28"/>
      <c r="D55" s="28"/>
    </row>
    <row r="56" spans="1:4" ht="15">
      <c r="A56" s="30" t="s">
        <v>290</v>
      </c>
      <c r="B56" s="28"/>
      <c r="C56" s="28"/>
      <c r="D56" s="28"/>
    </row>
    <row r="57" spans="1:4" ht="15">
      <c r="A57" s="30" t="s">
        <v>291</v>
      </c>
      <c r="B57" s="28"/>
      <c r="C57" s="28"/>
      <c r="D57" s="28"/>
    </row>
    <row r="58" spans="1:4" ht="15">
      <c r="A58" s="30" t="s">
        <v>292</v>
      </c>
      <c r="B58" s="28"/>
      <c r="C58" s="28"/>
      <c r="D58" s="28"/>
    </row>
    <row r="59" spans="1:4" ht="15">
      <c r="A59" s="30" t="s">
        <v>293</v>
      </c>
      <c r="B59" s="28"/>
      <c r="C59" s="28"/>
      <c r="D59" s="28"/>
    </row>
    <row r="60" spans="1:4" ht="15">
      <c r="A60" s="30" t="s">
        <v>294</v>
      </c>
      <c r="B60" s="28"/>
      <c r="C60" s="28"/>
      <c r="D60" s="28"/>
    </row>
    <row r="61" spans="1:4">
      <c r="A61" s="28"/>
      <c r="B61" s="28"/>
      <c r="C61" s="28"/>
      <c r="D61" s="28"/>
    </row>
    <row r="62" spans="1:4" ht="15">
      <c r="A62" s="30" t="s">
        <v>295</v>
      </c>
      <c r="B62" s="28"/>
      <c r="C62" s="28"/>
      <c r="D62" s="28"/>
    </row>
    <row r="63" spans="1:4">
      <c r="A63" s="28"/>
      <c r="B63" s="28"/>
      <c r="C63" s="28"/>
      <c r="D63" s="28"/>
    </row>
    <row r="64" spans="1:4">
      <c r="A64" s="28"/>
      <c r="B64" s="28"/>
      <c r="C64" s="28"/>
      <c r="D64" s="28"/>
    </row>
    <row r="65" spans="1:4">
      <c r="A65" s="28"/>
      <c r="B65" s="28"/>
      <c r="C65" s="28"/>
      <c r="D65" s="28"/>
    </row>
    <row r="66" spans="1:4" ht="31.2">
      <c r="A66" s="29" t="s">
        <v>296</v>
      </c>
      <c r="B66" s="28"/>
      <c r="C66" s="28"/>
      <c r="D66" s="28"/>
    </row>
    <row r="67" spans="1:4">
      <c r="A67" s="28"/>
      <c r="B67" s="28"/>
      <c r="C67" s="28"/>
      <c r="D67" s="28"/>
    </row>
    <row r="68" spans="1:4">
      <c r="A68" s="28" t="s">
        <v>297</v>
      </c>
      <c r="B68" s="28"/>
      <c r="C68" s="28"/>
      <c r="D68" s="28"/>
    </row>
    <row r="69" spans="1:4">
      <c r="A69" s="28"/>
      <c r="B69" s="28"/>
      <c r="C69" s="28"/>
      <c r="D69" s="28"/>
    </row>
    <row r="70" spans="1:4" ht="18">
      <c r="A70" s="31" t="s">
        <v>298</v>
      </c>
      <c r="B70" s="28"/>
      <c r="C70" s="28"/>
      <c r="D70" s="28"/>
    </row>
    <row r="71" spans="1:4">
      <c r="A71" s="28"/>
      <c r="B71" s="28"/>
      <c r="C71" s="28"/>
      <c r="D71" s="28"/>
    </row>
    <row r="72" spans="1:4" ht="15">
      <c r="A72" s="30" t="s">
        <v>111</v>
      </c>
      <c r="B72" s="28"/>
      <c r="C72" s="28"/>
      <c r="D72" s="28"/>
    </row>
    <row r="73" spans="1:4" ht="15">
      <c r="A73" s="30" t="s">
        <v>299</v>
      </c>
      <c r="B73" s="28"/>
      <c r="C73" s="28"/>
      <c r="D73" s="28"/>
    </row>
    <row r="74" spans="1:4" ht="15">
      <c r="A74" s="30" t="s">
        <v>300</v>
      </c>
      <c r="B74" s="28"/>
      <c r="C74" s="28"/>
      <c r="D74" s="28"/>
    </row>
    <row r="75" spans="1:4">
      <c r="A75" s="28"/>
      <c r="B75" s="28"/>
      <c r="C75" s="28"/>
      <c r="D75" s="28"/>
    </row>
    <row r="76" spans="1:4" ht="15">
      <c r="A76" s="30" t="s">
        <v>301</v>
      </c>
      <c r="B76" s="28"/>
      <c r="C76" s="28"/>
      <c r="D76" s="28"/>
    </row>
    <row r="77" spans="1:4" ht="15">
      <c r="A77" s="30" t="s">
        <v>302</v>
      </c>
      <c r="B77" s="28"/>
      <c r="C77" s="28"/>
      <c r="D77" s="28"/>
    </row>
    <row r="78" spans="1:4">
      <c r="A78" s="28"/>
      <c r="B78" s="28"/>
      <c r="C78" s="28"/>
      <c r="D78" s="28"/>
    </row>
    <row r="79" spans="1:4" ht="15">
      <c r="A79" s="30" t="s">
        <v>303</v>
      </c>
      <c r="B79" s="28"/>
      <c r="C79" s="28"/>
      <c r="D79" s="28"/>
    </row>
    <row r="80" spans="1:4" ht="15">
      <c r="A80" s="30" t="s">
        <v>304</v>
      </c>
      <c r="B80" s="28"/>
      <c r="C80" s="28"/>
      <c r="D80" s="28"/>
    </row>
    <row r="81" spans="1:4" ht="15">
      <c r="A81" s="30" t="s">
        <v>305</v>
      </c>
      <c r="B81" s="28"/>
      <c r="C81" s="28"/>
      <c r="D81" s="28"/>
    </row>
    <row r="82" spans="1:4" ht="15">
      <c r="A82" s="30" t="s">
        <v>306</v>
      </c>
      <c r="B82" s="28"/>
      <c r="C82" s="28"/>
      <c r="D82" s="28"/>
    </row>
    <row r="83" spans="1:4" ht="15">
      <c r="A83" s="30" t="s">
        <v>307</v>
      </c>
      <c r="B83" s="28"/>
      <c r="C83" s="28"/>
      <c r="D83" s="28"/>
    </row>
    <row r="84" spans="1:4" ht="15">
      <c r="A84" s="30" t="s">
        <v>308</v>
      </c>
      <c r="B84" s="28"/>
      <c r="C84" s="28"/>
      <c r="D84" s="28"/>
    </row>
    <row r="85" spans="1:4">
      <c r="A85" s="28"/>
      <c r="B85" s="28"/>
      <c r="C85" s="28"/>
      <c r="D85" s="28"/>
    </row>
    <row r="86" spans="1:4" ht="15">
      <c r="A86" s="30" t="s">
        <v>309</v>
      </c>
      <c r="B86" s="28"/>
      <c r="C86" s="28"/>
      <c r="D86" s="28"/>
    </row>
    <row r="87" spans="1:4" ht="15">
      <c r="A87" s="30" t="s">
        <v>310</v>
      </c>
      <c r="B87" s="28"/>
      <c r="C87" s="28"/>
      <c r="D87" s="28"/>
    </row>
    <row r="88" spans="1:4" ht="15">
      <c r="A88" s="30" t="s">
        <v>311</v>
      </c>
      <c r="B88" s="28"/>
      <c r="C88" s="28"/>
      <c r="D88" s="28"/>
    </row>
    <row r="89" spans="1:4" ht="15">
      <c r="A89" s="30" t="s">
        <v>312</v>
      </c>
      <c r="B89" s="28"/>
      <c r="C89" s="28"/>
      <c r="D89" s="28"/>
    </row>
    <row r="90" spans="1:4" ht="15">
      <c r="A90" s="30" t="s">
        <v>313</v>
      </c>
      <c r="B90" s="28"/>
      <c r="C90" s="28"/>
      <c r="D90" s="28"/>
    </row>
    <row r="91" spans="1:4" ht="15">
      <c r="A91" s="30" t="s">
        <v>308</v>
      </c>
      <c r="B91" s="28"/>
      <c r="C91" s="28"/>
      <c r="D91" s="28"/>
    </row>
    <row r="92" spans="1:4">
      <c r="A92" s="28"/>
      <c r="B92" s="28"/>
      <c r="C92" s="28"/>
      <c r="D92" s="28"/>
    </row>
    <row r="93" spans="1:4" ht="15">
      <c r="A93" s="30" t="s">
        <v>314</v>
      </c>
      <c r="B93" s="28"/>
      <c r="C93" s="28"/>
      <c r="D93" s="28"/>
    </row>
    <row r="94" spans="1:4" ht="15">
      <c r="A94" s="30" t="s">
        <v>315</v>
      </c>
      <c r="B94" s="28"/>
      <c r="C94" s="28"/>
      <c r="D94" s="28"/>
    </row>
    <row r="95" spans="1:4" ht="15">
      <c r="A95" s="30" t="s">
        <v>316</v>
      </c>
      <c r="B95" s="28"/>
      <c r="C95" s="28"/>
      <c r="D95" s="28"/>
    </row>
    <row r="96" spans="1:4" ht="15">
      <c r="A96" s="30" t="s">
        <v>317</v>
      </c>
      <c r="B96" s="28"/>
      <c r="C96" s="28"/>
      <c r="D96" s="28"/>
    </row>
    <row r="97" spans="1:4" ht="15">
      <c r="A97" s="30" t="s">
        <v>318</v>
      </c>
      <c r="B97" s="28"/>
      <c r="C97" s="28"/>
      <c r="D97" s="28"/>
    </row>
    <row r="98" spans="1:4" ht="15">
      <c r="A98" s="30" t="s">
        <v>319</v>
      </c>
      <c r="B98" s="28"/>
      <c r="C98" s="28"/>
      <c r="D98" s="28"/>
    </row>
    <row r="99" spans="1:4" ht="15">
      <c r="A99" s="30" t="s">
        <v>129</v>
      </c>
      <c r="B99" s="28"/>
      <c r="C99" s="28"/>
      <c r="D99" s="28"/>
    </row>
    <row r="100" spans="1:4">
      <c r="A100" s="28"/>
      <c r="B100" s="28"/>
      <c r="C100" s="28"/>
      <c r="D100" s="28"/>
    </row>
    <row r="101" spans="1:4" ht="15">
      <c r="A101" s="30" t="s">
        <v>130</v>
      </c>
      <c r="B101" s="28"/>
      <c r="C101" s="28"/>
      <c r="D101" s="28"/>
    </row>
    <row r="102" spans="1:4">
      <c r="A102" s="28"/>
      <c r="B102" s="28"/>
      <c r="C102" s="28"/>
      <c r="D102" s="28"/>
    </row>
    <row r="103" spans="1:4" ht="15">
      <c r="A103" s="30" t="s">
        <v>320</v>
      </c>
      <c r="B103" s="28"/>
      <c r="C103" s="28"/>
      <c r="D103" s="28"/>
    </row>
    <row r="104" spans="1:4">
      <c r="A104" s="28"/>
      <c r="B104" s="28"/>
      <c r="C104" s="28"/>
      <c r="D104" s="28"/>
    </row>
    <row r="105" spans="1:4">
      <c r="A105" s="28" t="s">
        <v>321</v>
      </c>
      <c r="B105" s="28"/>
      <c r="C105" s="28"/>
      <c r="D105" s="28"/>
    </row>
    <row r="106" spans="1:4">
      <c r="A106" s="28"/>
      <c r="B106" s="28"/>
      <c r="C106" s="28"/>
      <c r="D106" s="28"/>
    </row>
    <row r="107" spans="1:4" ht="15">
      <c r="A107" s="30" t="s">
        <v>322</v>
      </c>
      <c r="B107" s="28"/>
      <c r="C107" s="28"/>
      <c r="D107" s="28"/>
    </row>
    <row r="108" spans="1:4" ht="15">
      <c r="A108" s="30" t="s">
        <v>323</v>
      </c>
      <c r="B108" s="28"/>
      <c r="C108" s="28"/>
      <c r="D108" s="28"/>
    </row>
    <row r="109" spans="1:4" ht="15">
      <c r="A109" s="30" t="s">
        <v>324</v>
      </c>
      <c r="B109" s="28"/>
      <c r="C109" s="28"/>
      <c r="D109" s="28"/>
    </row>
    <row r="110" spans="1:4" ht="15">
      <c r="A110" s="30" t="s">
        <v>325</v>
      </c>
      <c r="B110" s="28"/>
      <c r="C110" s="28"/>
      <c r="D110" s="28"/>
    </row>
    <row r="111" spans="1:4" ht="15">
      <c r="A111" s="30" t="s">
        <v>326</v>
      </c>
      <c r="B111" s="28"/>
      <c r="C111" s="28"/>
      <c r="D111" s="28"/>
    </row>
    <row r="112" spans="1:4">
      <c r="A112" s="28"/>
      <c r="B112" s="28"/>
      <c r="C112" s="28"/>
      <c r="D112" s="28"/>
    </row>
    <row r="113" spans="1:4">
      <c r="A113" s="28"/>
      <c r="B113" s="28"/>
      <c r="C113" s="28"/>
      <c r="D113" s="28"/>
    </row>
    <row r="114" spans="1:4">
      <c r="A114" s="28"/>
      <c r="B114" s="28"/>
      <c r="C114" s="28"/>
      <c r="D114" s="28"/>
    </row>
    <row r="115" spans="1:4" ht="31.2">
      <c r="A115" s="29" t="s">
        <v>327</v>
      </c>
      <c r="B115" s="28"/>
      <c r="C115" s="28"/>
      <c r="D115" s="28"/>
    </row>
    <row r="116" spans="1:4">
      <c r="A116" s="28"/>
      <c r="B116" s="28"/>
      <c r="C116" s="28"/>
      <c r="D116" s="28"/>
    </row>
    <row r="117" spans="1:4" ht="18">
      <c r="A117" s="31" t="s">
        <v>328</v>
      </c>
      <c r="B117" s="28"/>
      <c r="C117" s="28"/>
      <c r="D117" s="28"/>
    </row>
    <row r="118" spans="1:4">
      <c r="A118" s="28"/>
      <c r="B118" s="28"/>
      <c r="C118" s="28"/>
      <c r="D118" s="28"/>
    </row>
    <row r="119" spans="1:4" ht="15">
      <c r="A119" s="30" t="s">
        <v>329</v>
      </c>
      <c r="B119" s="28"/>
      <c r="C119" s="28"/>
      <c r="D119" s="28"/>
    </row>
    <row r="120" spans="1:4">
      <c r="A120" s="28"/>
      <c r="B120" s="28"/>
      <c r="C120" s="28"/>
      <c r="D120" s="28"/>
    </row>
    <row r="121" spans="1:4">
      <c r="A121" s="28" t="s">
        <v>145</v>
      </c>
      <c r="B121" s="28"/>
      <c r="C121" s="28"/>
      <c r="D121" s="28"/>
    </row>
    <row r="122" spans="1:4">
      <c r="A122" s="28"/>
      <c r="B122" s="28"/>
      <c r="C122" s="28"/>
      <c r="D122" s="28"/>
    </row>
    <row r="123" spans="1:4" ht="15">
      <c r="A123" s="30" t="s">
        <v>330</v>
      </c>
      <c r="B123" s="28"/>
      <c r="C123" s="28"/>
      <c r="D123" s="28"/>
    </row>
    <row r="124" spans="1:4">
      <c r="A124" s="28"/>
      <c r="B124" s="28"/>
      <c r="C124" s="28"/>
      <c r="D124" s="28"/>
    </row>
    <row r="125" spans="1:4">
      <c r="A125" s="28" t="s">
        <v>331</v>
      </c>
      <c r="B125" s="28"/>
      <c r="C125" s="28"/>
      <c r="D125" s="28"/>
    </row>
    <row r="126" spans="1:4">
      <c r="A126" s="4"/>
      <c r="B126" s="28"/>
      <c r="C126" s="28"/>
      <c r="D126" s="28"/>
    </row>
    <row r="127" spans="1:4">
      <c r="A127" s="4" t="s">
        <v>332</v>
      </c>
      <c r="B127" s="28"/>
      <c r="C127" s="28"/>
      <c r="D127" s="28"/>
    </row>
    <row r="128" spans="1:4">
      <c r="A128" s="4" t="s">
        <v>333</v>
      </c>
      <c r="B128" s="28"/>
      <c r="C128" s="28"/>
      <c r="D128" s="28"/>
    </row>
    <row r="129" spans="1:4">
      <c r="A129" s="28"/>
      <c r="B129" s="28"/>
      <c r="C129" s="28"/>
      <c r="D129" s="28"/>
    </row>
    <row r="130" spans="1:4">
      <c r="A130" s="28"/>
      <c r="B130" s="28"/>
      <c r="C130" s="28"/>
      <c r="D130" s="28"/>
    </row>
    <row r="131" spans="1:4">
      <c r="A131" s="28"/>
      <c r="B131" s="28"/>
      <c r="C131" s="28"/>
      <c r="D131" s="28"/>
    </row>
    <row r="132" spans="1:4" ht="18">
      <c r="A132" s="31" t="s">
        <v>334</v>
      </c>
      <c r="B132" s="28"/>
      <c r="C132" s="28"/>
      <c r="D132" s="28"/>
    </row>
    <row r="133" spans="1:4">
      <c r="A133" s="28"/>
      <c r="B133" s="28"/>
      <c r="C133" s="28"/>
      <c r="D133" s="28"/>
    </row>
    <row r="134" spans="1:4" ht="15">
      <c r="A134" s="30" t="s">
        <v>335</v>
      </c>
      <c r="B134" s="28"/>
      <c r="C134" s="28"/>
      <c r="D134" s="28"/>
    </row>
    <row r="135" spans="1:4">
      <c r="A135" s="28"/>
      <c r="B135" s="28"/>
      <c r="C135" s="28"/>
      <c r="D135" s="28"/>
    </row>
    <row r="136" spans="1:4">
      <c r="A136" s="28"/>
      <c r="B136" s="28"/>
      <c r="C136" s="28"/>
      <c r="D136" s="28"/>
    </row>
    <row r="137" spans="1:4">
      <c r="A137" s="28"/>
      <c r="B137" s="28"/>
      <c r="C137" s="28"/>
      <c r="D137" s="28"/>
    </row>
    <row r="138" spans="1:4" ht="18">
      <c r="A138" s="31" t="s">
        <v>336</v>
      </c>
      <c r="B138" s="28"/>
      <c r="C138" s="28"/>
      <c r="D138" s="28"/>
    </row>
    <row r="139" spans="1:4">
      <c r="A139" s="28"/>
      <c r="B139" s="28"/>
      <c r="C139" s="28"/>
      <c r="D139" s="28"/>
    </row>
    <row r="140" spans="1:4" ht="15">
      <c r="A140" s="30" t="s">
        <v>337</v>
      </c>
      <c r="B140" s="28"/>
      <c r="C140" s="28"/>
      <c r="D140" s="28"/>
    </row>
    <row r="141" spans="1:4">
      <c r="A141" s="28"/>
      <c r="B141" s="28"/>
      <c r="C141" s="28"/>
      <c r="D141" s="28"/>
    </row>
    <row r="142" spans="1:4">
      <c r="A142" s="28" t="s">
        <v>338</v>
      </c>
      <c r="B142" s="28"/>
      <c r="C142" s="28"/>
      <c r="D142" s="28"/>
    </row>
    <row r="143" spans="1:4">
      <c r="A143" s="4"/>
      <c r="B143" s="28"/>
      <c r="C143" s="28"/>
      <c r="D143" s="28"/>
    </row>
    <row r="144" spans="1:4">
      <c r="A144" s="4" t="s">
        <v>339</v>
      </c>
      <c r="B144" s="28"/>
      <c r="C144" s="28"/>
      <c r="D144" s="28"/>
    </row>
    <row r="145" spans="1:4">
      <c r="A145" s="4" t="s">
        <v>340</v>
      </c>
      <c r="B145" s="28"/>
      <c r="C145" s="28"/>
      <c r="D145" s="28"/>
    </row>
    <row r="146" spans="1:4">
      <c r="A146" s="4" t="s">
        <v>341</v>
      </c>
      <c r="B146" s="28"/>
      <c r="C146" s="28"/>
      <c r="D146" s="28"/>
    </row>
    <row r="147" spans="1:4">
      <c r="A147" s="4" t="s">
        <v>342</v>
      </c>
      <c r="B147" s="28"/>
      <c r="C147" s="28"/>
      <c r="D147" s="28"/>
    </row>
    <row r="148" spans="1:4">
      <c r="A148" s="4" t="s">
        <v>343</v>
      </c>
      <c r="B148" s="28"/>
      <c r="C148" s="28"/>
      <c r="D148" s="28"/>
    </row>
    <row r="149" spans="1:4">
      <c r="A149" s="28"/>
      <c r="B149" s="28"/>
      <c r="C149" s="28"/>
      <c r="D149" s="28"/>
    </row>
    <row r="150" spans="1:4">
      <c r="A150" s="28"/>
      <c r="B150" s="28"/>
      <c r="C150" s="28"/>
      <c r="D150" s="28"/>
    </row>
    <row r="151" spans="1:4">
      <c r="A151" s="28"/>
      <c r="B151" s="28"/>
      <c r="C151" s="28"/>
      <c r="D151" s="28"/>
    </row>
    <row r="152" spans="1:4" ht="31.2">
      <c r="A152" s="29" t="s">
        <v>344</v>
      </c>
      <c r="B152" s="28"/>
      <c r="C152" s="28"/>
      <c r="D152" s="28"/>
    </row>
    <row r="153" spans="1:4">
      <c r="A153" s="28"/>
      <c r="B153" s="28"/>
      <c r="C153" s="28"/>
      <c r="D153" s="28"/>
    </row>
    <row r="154" spans="1:4" ht="18">
      <c r="A154" s="31" t="s">
        <v>345</v>
      </c>
      <c r="B154" s="28"/>
      <c r="C154" s="28"/>
      <c r="D154" s="28"/>
    </row>
    <row r="155" spans="1:4">
      <c r="A155" s="28"/>
      <c r="B155" s="28"/>
      <c r="C155" s="28"/>
      <c r="D155" s="28"/>
    </row>
    <row r="156" spans="1:4" ht="15">
      <c r="A156" s="30" t="s">
        <v>346</v>
      </c>
      <c r="B156" s="28"/>
      <c r="C156" s="28"/>
      <c r="D156" s="28"/>
    </row>
    <row r="157" spans="1:4">
      <c r="A157" s="28"/>
      <c r="B157" s="28"/>
      <c r="C157" s="28"/>
      <c r="D157" s="28"/>
    </row>
    <row r="158" spans="1:4">
      <c r="A158" s="28" t="s">
        <v>347</v>
      </c>
      <c r="B158" s="28"/>
      <c r="C158" s="28"/>
      <c r="D158" s="28"/>
    </row>
    <row r="159" spans="1:4">
      <c r="A159" s="28"/>
      <c r="B159" s="28"/>
      <c r="C159" s="28"/>
      <c r="D159" s="28"/>
    </row>
    <row r="160" spans="1:4" ht="15">
      <c r="A160" s="30" t="s">
        <v>348</v>
      </c>
      <c r="B160" s="28"/>
      <c r="C160" s="28"/>
      <c r="D160" s="28"/>
    </row>
    <row r="161" spans="1:4" ht="15">
      <c r="A161" s="30" t="s">
        <v>349</v>
      </c>
      <c r="B161" s="28"/>
      <c r="C161" s="28"/>
      <c r="D161" s="28"/>
    </row>
    <row r="162" spans="1:4" ht="15">
      <c r="A162" s="30" t="s">
        <v>350</v>
      </c>
      <c r="B162" s="28"/>
      <c r="C162" s="28"/>
      <c r="D162" s="28"/>
    </row>
    <row r="163" spans="1:4" ht="15">
      <c r="A163" s="30" t="s">
        <v>351</v>
      </c>
      <c r="B163" s="28"/>
      <c r="C163" s="28"/>
      <c r="D163" s="28"/>
    </row>
    <row r="164" spans="1:4" ht="15">
      <c r="A164" s="30" t="s">
        <v>352</v>
      </c>
      <c r="B164" s="28"/>
      <c r="C164" s="28"/>
      <c r="D164" s="28"/>
    </row>
    <row r="165" spans="1:4">
      <c r="A165" s="28"/>
      <c r="B165" s="28"/>
      <c r="C165" s="28"/>
      <c r="D165" s="28"/>
    </row>
    <row r="166" spans="1:4">
      <c r="A166" s="28" t="s">
        <v>353</v>
      </c>
      <c r="B166" s="28"/>
      <c r="C166" s="28"/>
      <c r="D166" s="28"/>
    </row>
    <row r="167" spans="1:4">
      <c r="A167" s="28"/>
      <c r="B167" s="28"/>
      <c r="C167" s="28"/>
      <c r="D167" s="28"/>
    </row>
    <row r="168" spans="1:4">
      <c r="A168" s="28"/>
      <c r="B168" s="28"/>
      <c r="C168" s="28"/>
      <c r="D168" s="28"/>
    </row>
    <row r="169" spans="1:4">
      <c r="A169" s="28"/>
      <c r="B169" s="28"/>
      <c r="C169" s="28"/>
      <c r="D169" s="28"/>
    </row>
    <row r="170" spans="1:4" ht="31.2">
      <c r="A170" s="29" t="s">
        <v>354</v>
      </c>
      <c r="B170" s="28"/>
      <c r="C170" s="28"/>
      <c r="D170" s="28"/>
    </row>
    <row r="171" spans="1:4">
      <c r="A171" s="28"/>
      <c r="B171" s="28"/>
      <c r="C171" s="28"/>
      <c r="D171" s="28"/>
    </row>
    <row r="172" spans="1:4" ht="18">
      <c r="A172" s="31" t="s">
        <v>355</v>
      </c>
      <c r="B172" s="28"/>
      <c r="C172" s="28"/>
      <c r="D172" s="28"/>
    </row>
    <row r="173" spans="1:4">
      <c r="A173" s="28"/>
      <c r="B173" s="28"/>
      <c r="C173" s="28"/>
      <c r="D173" s="28"/>
    </row>
    <row r="174" spans="1:4" ht="15">
      <c r="A174" s="30" t="s">
        <v>356</v>
      </c>
      <c r="B174" s="28"/>
      <c r="C174" s="28"/>
      <c r="D174" s="28"/>
    </row>
    <row r="175" spans="1:4">
      <c r="A175" s="28"/>
      <c r="B175" s="28"/>
      <c r="C175" s="28"/>
      <c r="D175" s="28"/>
    </row>
    <row r="176" spans="1:4">
      <c r="A176" s="28"/>
      <c r="B176" s="28"/>
      <c r="C176" s="28"/>
      <c r="D176" s="28"/>
    </row>
    <row r="177" spans="1:4">
      <c r="A177" s="28"/>
      <c r="B177" s="28"/>
      <c r="C177" s="28"/>
      <c r="D177" s="28"/>
    </row>
    <row r="178" spans="1:4" ht="31.2">
      <c r="A178" s="29" t="s">
        <v>357</v>
      </c>
      <c r="B178" s="28"/>
      <c r="C178" s="28"/>
      <c r="D178" s="28"/>
    </row>
    <row r="179" spans="1:4">
      <c r="A179" s="28"/>
      <c r="B179" s="28"/>
      <c r="C179" s="28"/>
      <c r="D179" s="28"/>
    </row>
    <row r="180" spans="1:4">
      <c r="A180" s="28" t="s">
        <v>358</v>
      </c>
      <c r="B180" s="28"/>
      <c r="C180" s="28"/>
      <c r="D180" s="28"/>
    </row>
    <row r="181" spans="1:4">
      <c r="A181" s="28"/>
      <c r="B181" s="28"/>
      <c r="C181" s="28"/>
      <c r="D181" s="28"/>
    </row>
    <row r="182" spans="1:4" ht="18">
      <c r="A182" s="31" t="s">
        <v>359</v>
      </c>
      <c r="B182" s="28"/>
      <c r="C182" s="28"/>
      <c r="D182" s="28"/>
    </row>
    <row r="183" spans="1:4">
      <c r="A183" s="28"/>
      <c r="B183" s="28"/>
      <c r="C183" s="28"/>
      <c r="D183" s="28"/>
    </row>
    <row r="184" spans="1:4" ht="15">
      <c r="A184" s="30" t="s">
        <v>360</v>
      </c>
      <c r="B184" s="28"/>
      <c r="C184" s="28"/>
      <c r="D184" s="28"/>
    </row>
    <row r="185" spans="1:4">
      <c r="A185" s="28"/>
      <c r="B185" s="28"/>
      <c r="C185" s="28"/>
      <c r="D185" s="28"/>
    </row>
    <row r="186" spans="1:4" ht="15">
      <c r="A186" s="30" t="s">
        <v>361</v>
      </c>
      <c r="B186" s="28"/>
      <c r="C186" s="28"/>
      <c r="D186" s="28"/>
    </row>
    <row r="187" spans="1:4">
      <c r="A187" s="28"/>
      <c r="B187" s="28"/>
      <c r="C187" s="28"/>
      <c r="D187" s="28"/>
    </row>
    <row r="188" spans="1:4" ht="15">
      <c r="A188" s="30" t="s">
        <v>362</v>
      </c>
      <c r="B188" s="28"/>
      <c r="C188" s="28"/>
      <c r="D188" s="28"/>
    </row>
    <row r="189" spans="1:4" ht="15">
      <c r="A189" s="30" t="s">
        <v>363</v>
      </c>
      <c r="B189" s="28"/>
      <c r="C189" s="28"/>
      <c r="D189" s="28"/>
    </row>
    <row r="190" spans="1:4" ht="15">
      <c r="A190" s="30" t="s">
        <v>364</v>
      </c>
      <c r="B190" s="28"/>
      <c r="C190" s="28"/>
      <c r="D190" s="28"/>
    </row>
    <row r="191" spans="1:4">
      <c r="A191" s="28"/>
      <c r="B191" s="28"/>
      <c r="C191" s="28"/>
      <c r="D191" s="28"/>
    </row>
    <row r="192" spans="1:4" ht="15">
      <c r="A192" s="30" t="s">
        <v>365</v>
      </c>
      <c r="B192" s="28"/>
      <c r="C192" s="28"/>
      <c r="D192" s="28"/>
    </row>
    <row r="193" spans="1:4">
      <c r="A193" s="28"/>
      <c r="B193" s="28"/>
      <c r="C193" s="28"/>
      <c r="D193" s="28"/>
    </row>
    <row r="194" spans="1:4">
      <c r="A194" s="28" t="s">
        <v>366</v>
      </c>
      <c r="B194" s="28"/>
      <c r="C194" s="28"/>
      <c r="D194" s="28"/>
    </row>
    <row r="195" spans="1:4">
      <c r="A195" s="28"/>
      <c r="B195" s="28"/>
      <c r="C195" s="28"/>
      <c r="D195" s="28"/>
    </row>
    <row r="196" spans="1:4">
      <c r="A196" s="28" t="s">
        <v>367</v>
      </c>
      <c r="B196" s="28"/>
      <c r="C196" s="28"/>
      <c r="D196" s="28"/>
    </row>
    <row r="197" spans="1:4">
      <c r="A197" s="28"/>
      <c r="B197" s="28"/>
      <c r="C197" s="28"/>
      <c r="D197" s="28"/>
    </row>
    <row r="198" spans="1:4" ht="15">
      <c r="A198" s="30" t="s">
        <v>368</v>
      </c>
      <c r="B198" s="28"/>
      <c r="C198" s="28"/>
      <c r="D198" s="28"/>
    </row>
    <row r="199" spans="1:4" ht="15">
      <c r="A199" s="30" t="s">
        <v>369</v>
      </c>
      <c r="B199" s="28"/>
      <c r="C199" s="28"/>
      <c r="D199" s="28"/>
    </row>
    <row r="200" spans="1:4" ht="15">
      <c r="A200" s="30" t="s">
        <v>370</v>
      </c>
      <c r="B200" s="28"/>
      <c r="C200" s="28"/>
      <c r="D200" s="28"/>
    </row>
    <row r="201" spans="1:4">
      <c r="A201" s="28"/>
      <c r="B201" s="28"/>
      <c r="C201" s="28"/>
      <c r="D201" s="28"/>
    </row>
    <row r="202" spans="1:4">
      <c r="A202" s="28"/>
      <c r="B202" s="28"/>
      <c r="C202" s="28"/>
      <c r="D202" s="28"/>
    </row>
    <row r="203" spans="1:4">
      <c r="A203" s="28"/>
      <c r="B203" s="28"/>
      <c r="C203" s="28"/>
      <c r="D203" s="28"/>
    </row>
    <row r="204" spans="1:4" ht="31.2">
      <c r="A204" s="29" t="s">
        <v>371</v>
      </c>
      <c r="B204" s="28"/>
      <c r="C204" s="28"/>
      <c r="D204" s="28"/>
    </row>
    <row r="205" spans="1:4">
      <c r="A205" s="28"/>
      <c r="B205" s="28"/>
      <c r="C205" s="28"/>
      <c r="D205" s="28"/>
    </row>
    <row r="206" spans="1:4" ht="18">
      <c r="A206" s="31" t="s">
        <v>372</v>
      </c>
      <c r="B206" s="28"/>
      <c r="C206" s="28"/>
      <c r="D206" s="28"/>
    </row>
    <row r="207" spans="1:4">
      <c r="A207" s="28"/>
      <c r="B207" s="28"/>
      <c r="C207" s="28"/>
      <c r="D207" s="28"/>
    </row>
    <row r="208" spans="1:4" ht="15">
      <c r="A208" s="30" t="s">
        <v>360</v>
      </c>
      <c r="B208" s="28"/>
      <c r="C208" s="28"/>
      <c r="D208" s="28"/>
    </row>
    <row r="209" spans="1:4">
      <c r="A209" s="28"/>
      <c r="B209" s="28"/>
      <c r="C209" s="28"/>
      <c r="D209" s="28"/>
    </row>
    <row r="210" spans="1:4" ht="15">
      <c r="A210" s="30" t="s">
        <v>373</v>
      </c>
      <c r="B210" s="28"/>
      <c r="C210" s="28"/>
      <c r="D210" s="28"/>
    </row>
    <row r="211" spans="1:4">
      <c r="A211" s="28"/>
      <c r="B211" s="28"/>
      <c r="C211" s="28"/>
      <c r="D211" s="28"/>
    </row>
    <row r="212" spans="1:4" ht="15">
      <c r="A212" s="30" t="s">
        <v>374</v>
      </c>
      <c r="B212" s="28"/>
      <c r="C212" s="28"/>
      <c r="D212" s="28"/>
    </row>
    <row r="213" spans="1:4" ht="15">
      <c r="A213" s="30" t="s">
        <v>375</v>
      </c>
      <c r="B213" s="28"/>
      <c r="C213" s="28"/>
      <c r="D213" s="28"/>
    </row>
    <row r="214" spans="1:4" ht="15">
      <c r="A214" s="30" t="s">
        <v>376</v>
      </c>
      <c r="B214" s="28"/>
      <c r="C214" s="28"/>
      <c r="D214" s="28"/>
    </row>
    <row r="215" spans="1:4">
      <c r="A215" s="28"/>
      <c r="B215" s="28"/>
      <c r="C215" s="28"/>
      <c r="D215" s="28"/>
    </row>
    <row r="216" spans="1:4" ht="15">
      <c r="A216" s="30" t="s">
        <v>365</v>
      </c>
      <c r="B216" s="28"/>
      <c r="C216" s="28"/>
      <c r="D216" s="28"/>
    </row>
    <row r="217" spans="1:4">
      <c r="A217" s="28"/>
      <c r="B217" s="28"/>
      <c r="C217" s="28"/>
      <c r="D217" s="28"/>
    </row>
    <row r="218" spans="1:4">
      <c r="A218" s="28"/>
      <c r="B218" s="28"/>
      <c r="C218" s="28"/>
      <c r="D218" s="28"/>
    </row>
    <row r="219" spans="1:4">
      <c r="A219" s="28"/>
      <c r="B219" s="28"/>
      <c r="C219" s="28"/>
      <c r="D219" s="28"/>
    </row>
    <row r="220" spans="1:4" ht="31.2">
      <c r="A220" s="29" t="s">
        <v>377</v>
      </c>
      <c r="B220" s="28"/>
      <c r="C220" s="28"/>
      <c r="D220" s="28"/>
    </row>
    <row r="221" spans="1:4">
      <c r="A221" s="28"/>
      <c r="B221" s="28"/>
      <c r="C221" s="28"/>
      <c r="D221" s="28"/>
    </row>
    <row r="222" spans="1:4">
      <c r="A222" s="28" t="s">
        <v>378</v>
      </c>
      <c r="B222" s="28"/>
      <c r="C222" s="28"/>
      <c r="D222" s="28"/>
    </row>
    <row r="223" spans="1:4">
      <c r="A223" s="28"/>
      <c r="B223" s="28"/>
      <c r="C223" s="28"/>
      <c r="D223" s="28"/>
    </row>
    <row r="224" spans="1:4">
      <c r="A224" s="28" t="s">
        <v>379</v>
      </c>
      <c r="B224" s="28"/>
      <c r="C224" s="28"/>
      <c r="D224" s="28"/>
    </row>
    <row r="225" spans="1:4">
      <c r="A225" s="28"/>
      <c r="B225" s="28"/>
      <c r="C225" s="28"/>
      <c r="D225" s="28"/>
    </row>
    <row r="226" spans="1:4" ht="15">
      <c r="A226" s="30" t="s">
        <v>380</v>
      </c>
      <c r="B226" s="28"/>
      <c r="C226" s="28"/>
      <c r="D226" s="28"/>
    </row>
    <row r="227" spans="1:4">
      <c r="A227" s="28"/>
      <c r="B227" s="28"/>
      <c r="C227" s="28"/>
      <c r="D227" s="28"/>
    </row>
    <row r="228" spans="1:4">
      <c r="A228" s="28" t="s">
        <v>54</v>
      </c>
      <c r="B228" s="28"/>
      <c r="C228" s="28"/>
      <c r="D228" s="28"/>
    </row>
    <row r="229" spans="1:4">
      <c r="A229" s="28"/>
      <c r="B229" s="28"/>
      <c r="C229" s="28"/>
      <c r="D229" s="28"/>
    </row>
    <row r="230" spans="1:4" ht="18">
      <c r="A230" s="31" t="s">
        <v>381</v>
      </c>
      <c r="B230" s="28"/>
      <c r="C230" s="28"/>
      <c r="D230" s="28"/>
    </row>
    <row r="231" spans="1:4">
      <c r="A231" s="28"/>
      <c r="B231" s="28"/>
      <c r="C231" s="28"/>
      <c r="D231" s="28"/>
    </row>
    <row r="232" spans="1:4" ht="15">
      <c r="A232" s="30" t="s">
        <v>382</v>
      </c>
      <c r="B232" s="28"/>
      <c r="C232" s="28"/>
      <c r="D232" s="28"/>
    </row>
    <row r="233" spans="1:4">
      <c r="A233" s="28"/>
      <c r="B233" s="28"/>
      <c r="C233" s="28"/>
      <c r="D233" s="28"/>
    </row>
    <row r="234" spans="1:4" ht="18">
      <c r="A234" s="31" t="s">
        <v>383</v>
      </c>
      <c r="B234" s="28"/>
      <c r="C234" s="28"/>
      <c r="D234" s="28"/>
    </row>
    <row r="235" spans="1:4">
      <c r="A235" s="28"/>
      <c r="B235" s="28"/>
      <c r="C235" s="28"/>
      <c r="D235" s="28"/>
    </row>
    <row r="236" spans="1:4">
      <c r="A236" s="28" t="s">
        <v>384</v>
      </c>
      <c r="B236" s="28"/>
      <c r="C236" s="28"/>
      <c r="D236" s="28"/>
    </row>
    <row r="237" spans="1:4">
      <c r="A237" s="28"/>
      <c r="B237" s="28"/>
      <c r="C237" s="28"/>
      <c r="D237" s="28"/>
    </row>
    <row r="238" spans="1:4" ht="15">
      <c r="A238" s="30" t="s">
        <v>385</v>
      </c>
      <c r="B238" s="28"/>
      <c r="C238" s="28"/>
      <c r="D238" s="28"/>
    </row>
    <row r="239" spans="1:4">
      <c r="A239" s="28"/>
      <c r="B239" s="28"/>
      <c r="C239" s="28"/>
      <c r="D239" s="28"/>
    </row>
    <row r="240" spans="1:4" ht="18">
      <c r="A240" s="31" t="s">
        <v>386</v>
      </c>
      <c r="B240" s="28"/>
      <c r="C240" s="28"/>
      <c r="D240" s="28"/>
    </row>
    <row r="241" spans="1:4">
      <c r="A241" s="28"/>
      <c r="B241" s="28"/>
      <c r="C241" s="28"/>
      <c r="D241" s="28"/>
    </row>
    <row r="242" spans="1:4" ht="15">
      <c r="A242" s="30" t="s">
        <v>387</v>
      </c>
      <c r="B242" s="28"/>
      <c r="C242" s="28"/>
      <c r="D242" s="28"/>
    </row>
    <row r="243" spans="1:4">
      <c r="A243" s="28"/>
      <c r="B243" s="28"/>
      <c r="C243" s="28"/>
      <c r="D243" s="28"/>
    </row>
    <row r="244" spans="1:4" ht="15">
      <c r="A244" s="30" t="s">
        <v>388</v>
      </c>
      <c r="B244" s="28"/>
      <c r="C244" s="28"/>
      <c r="D244" s="28"/>
    </row>
    <row r="245" spans="1:4">
      <c r="A245" s="28"/>
      <c r="B245" s="28"/>
      <c r="C245" s="28"/>
      <c r="D245" s="28"/>
    </row>
    <row r="246" spans="1:4" ht="15">
      <c r="A246" s="30" t="s">
        <v>389</v>
      </c>
      <c r="B246" s="28"/>
      <c r="C246" s="28"/>
      <c r="D246" s="28"/>
    </row>
    <row r="247" spans="1:4" ht="15">
      <c r="A247" s="30" t="s">
        <v>390</v>
      </c>
      <c r="B247" s="28"/>
      <c r="C247" s="28"/>
      <c r="D247" s="28"/>
    </row>
    <row r="248" spans="1:4">
      <c r="A248" s="28"/>
      <c r="B248" s="28"/>
      <c r="C248" s="28"/>
      <c r="D248" s="28"/>
    </row>
    <row r="249" spans="1:4" ht="15">
      <c r="A249" s="30" t="s">
        <v>391</v>
      </c>
      <c r="B249" s="28"/>
      <c r="C249" s="28"/>
      <c r="D249" s="28"/>
    </row>
    <row r="250" spans="1:4" ht="15">
      <c r="A250" s="30" t="s">
        <v>392</v>
      </c>
      <c r="B250" s="28"/>
      <c r="C250" s="28"/>
      <c r="D250" s="28"/>
    </row>
    <row r="251" spans="1:4">
      <c r="A251" s="28"/>
      <c r="B251" s="28"/>
      <c r="C251" s="28"/>
      <c r="D251" s="28"/>
    </row>
    <row r="252" spans="1:4">
      <c r="A252" s="28" t="s">
        <v>98</v>
      </c>
      <c r="B252" s="28"/>
      <c r="C252" s="28"/>
      <c r="D252" s="28"/>
    </row>
    <row r="253" spans="1:4">
      <c r="A253" s="28"/>
      <c r="B253" s="28"/>
      <c r="C253" s="28"/>
      <c r="D253" s="28"/>
    </row>
    <row r="254" spans="1:4" ht="15">
      <c r="A254" s="30" t="s">
        <v>393</v>
      </c>
      <c r="B254" s="28"/>
      <c r="C254" s="28"/>
      <c r="D254" s="28"/>
    </row>
    <row r="255" spans="1:4" ht="15">
      <c r="A255" s="30" t="s">
        <v>394</v>
      </c>
      <c r="B255" s="28"/>
      <c r="C255" s="28"/>
      <c r="D255" s="28"/>
    </row>
    <row r="256" spans="1:4" ht="15">
      <c r="A256" s="30" t="s">
        <v>395</v>
      </c>
      <c r="B256" s="28"/>
      <c r="C256" s="28"/>
      <c r="D256" s="28"/>
    </row>
    <row r="257" spans="1:4" ht="15">
      <c r="A257" s="30" t="s">
        <v>394</v>
      </c>
      <c r="B257" s="28"/>
      <c r="C257" s="28"/>
      <c r="D257" s="28"/>
    </row>
    <row r="258" spans="1:4" ht="15">
      <c r="A258" s="30" t="s">
        <v>396</v>
      </c>
      <c r="B258" s="28"/>
      <c r="C258" s="28"/>
      <c r="D258" s="28"/>
    </row>
    <row r="259" spans="1:4">
      <c r="A259" s="28"/>
      <c r="B259" s="28"/>
      <c r="C259" s="28"/>
      <c r="D259" s="28"/>
    </row>
    <row r="260" spans="1:4">
      <c r="A260" s="28"/>
      <c r="B260" s="28"/>
      <c r="C260" s="28"/>
      <c r="D260" s="28"/>
    </row>
    <row r="261" spans="1:4">
      <c r="A261" s="28"/>
      <c r="B261" s="28"/>
      <c r="C261" s="28"/>
      <c r="D261" s="28"/>
    </row>
    <row r="262" spans="1:4" ht="31.2">
      <c r="A262" s="29" t="s">
        <v>397</v>
      </c>
      <c r="B262" s="28"/>
      <c r="C262" s="28"/>
      <c r="D262" s="28"/>
    </row>
    <row r="263" spans="1:4">
      <c r="A263" s="28"/>
      <c r="B263" s="28"/>
      <c r="C263" s="28"/>
      <c r="D263" s="28"/>
    </row>
    <row r="264" spans="1:4">
      <c r="A264" s="28" t="s">
        <v>398</v>
      </c>
      <c r="B264" s="28"/>
      <c r="C264" s="28"/>
      <c r="D264" s="28"/>
    </row>
    <row r="265" spans="1:4">
      <c r="A265" s="28"/>
      <c r="B265" s="28"/>
      <c r="C265" s="28"/>
      <c r="D265" s="28"/>
    </row>
    <row r="266" spans="1:4" ht="18">
      <c r="A266" s="31" t="s">
        <v>399</v>
      </c>
      <c r="B266" s="28"/>
      <c r="C266" s="28"/>
      <c r="D266" s="28"/>
    </row>
    <row r="267" spans="1:4">
      <c r="A267" s="28"/>
      <c r="B267" s="28"/>
      <c r="C267" s="28"/>
      <c r="D267" s="28"/>
    </row>
    <row r="268" spans="1:4" ht="15">
      <c r="A268" s="30" t="s">
        <v>400</v>
      </c>
      <c r="B268" s="28"/>
      <c r="C268" s="28"/>
      <c r="D268" s="28"/>
    </row>
    <row r="269" spans="1:4" ht="15">
      <c r="A269" s="30" t="s">
        <v>401</v>
      </c>
      <c r="B269" s="28"/>
      <c r="C269" s="28"/>
      <c r="D269" s="28"/>
    </row>
    <row r="270" spans="1:4">
      <c r="A270" s="28"/>
      <c r="B270" s="28"/>
      <c r="C270" s="28"/>
      <c r="D270" s="28"/>
    </row>
    <row r="271" spans="1:4" ht="18">
      <c r="A271" s="31" t="s">
        <v>402</v>
      </c>
      <c r="B271" s="28"/>
      <c r="C271" s="28"/>
      <c r="D271" s="28"/>
    </row>
    <row r="272" spans="1:4">
      <c r="A272" s="28"/>
      <c r="B272" s="28"/>
      <c r="C272" s="28"/>
      <c r="D272" s="28"/>
    </row>
    <row r="273" spans="1:4" ht="15">
      <c r="A273" s="30" t="s">
        <v>403</v>
      </c>
      <c r="B273" s="28"/>
      <c r="C273" s="28"/>
      <c r="D273" s="28"/>
    </row>
    <row r="274" spans="1:4" ht="15">
      <c r="A274" s="30" t="s">
        <v>404</v>
      </c>
      <c r="B274" s="28"/>
      <c r="C274" s="28"/>
      <c r="D274" s="28"/>
    </row>
    <row r="275" spans="1:4">
      <c r="A275" s="28"/>
      <c r="B275" s="28"/>
      <c r="C275" s="28"/>
      <c r="D275" s="28"/>
    </row>
    <row r="276" spans="1:4">
      <c r="A276" s="28" t="s">
        <v>405</v>
      </c>
      <c r="B276" s="28"/>
      <c r="C276" s="28"/>
      <c r="D276" s="28"/>
    </row>
    <row r="277" spans="1:4">
      <c r="A277" s="28"/>
      <c r="B277" s="28"/>
      <c r="C277" s="28"/>
      <c r="D277" s="28"/>
    </row>
    <row r="278" spans="1:4" ht="18">
      <c r="A278" s="31" t="s">
        <v>406</v>
      </c>
      <c r="B278" s="28"/>
      <c r="C278" s="28"/>
      <c r="D278" s="28"/>
    </row>
    <row r="279" spans="1:4">
      <c r="A279" s="28"/>
      <c r="B279" s="28"/>
      <c r="C279" s="28"/>
      <c r="D279" s="28"/>
    </row>
    <row r="280" spans="1:4" ht="15">
      <c r="A280" s="30" t="s">
        <v>407</v>
      </c>
      <c r="B280" s="28"/>
      <c r="C280" s="28"/>
      <c r="D280" s="28"/>
    </row>
    <row r="281" spans="1:4" ht="15">
      <c r="A281" s="30" t="s">
        <v>408</v>
      </c>
      <c r="B281" s="28"/>
      <c r="C281" s="28"/>
      <c r="D281" s="28"/>
    </row>
    <row r="282" spans="1:4" ht="15">
      <c r="A282" s="30" t="s">
        <v>409</v>
      </c>
      <c r="B282" s="28"/>
      <c r="C282" s="28"/>
      <c r="D282" s="28"/>
    </row>
    <row r="283" spans="1:4" ht="15">
      <c r="A283" s="30" t="s">
        <v>410</v>
      </c>
      <c r="B283" s="28"/>
      <c r="C283" s="28"/>
      <c r="D283" s="28"/>
    </row>
    <row r="284" spans="1:4">
      <c r="A284" s="28"/>
      <c r="B284" s="28"/>
      <c r="C284" s="28"/>
      <c r="D284" s="28"/>
    </row>
    <row r="285" spans="1:4" ht="15">
      <c r="A285" s="30" t="s">
        <v>411</v>
      </c>
      <c r="B285" s="28"/>
      <c r="C285" s="28"/>
      <c r="D285" s="28"/>
    </row>
    <row r="286" spans="1:4" ht="15">
      <c r="A286" s="30" t="s">
        <v>412</v>
      </c>
      <c r="B286" s="28"/>
      <c r="C286" s="28"/>
      <c r="D286" s="28"/>
    </row>
    <row r="287" spans="1:4" ht="15">
      <c r="A287" s="30" t="s">
        <v>413</v>
      </c>
      <c r="B287" s="28"/>
      <c r="C287" s="28"/>
      <c r="D287" s="28"/>
    </row>
    <row r="288" spans="1:4" ht="15">
      <c r="A288" s="30" t="s">
        <v>410</v>
      </c>
      <c r="B288" s="28"/>
      <c r="C288" s="28"/>
      <c r="D288" s="28"/>
    </row>
    <row r="289" spans="1:4">
      <c r="A289" s="28"/>
      <c r="B289" s="28"/>
      <c r="C289" s="28"/>
      <c r="D289" s="28"/>
    </row>
    <row r="290" spans="1:4">
      <c r="A290" s="28"/>
      <c r="B290" s="28"/>
      <c r="C290" s="28"/>
      <c r="D290" s="28"/>
    </row>
    <row r="291" spans="1:4">
      <c r="A291" s="28"/>
      <c r="B291" s="28"/>
      <c r="C291" s="28"/>
      <c r="D291" s="28"/>
    </row>
    <row r="292" spans="1:4" ht="31.2">
      <c r="A292" s="29" t="s">
        <v>414</v>
      </c>
      <c r="B292" s="28"/>
      <c r="C292" s="28"/>
      <c r="D292" s="28"/>
    </row>
    <row r="293" spans="1:4">
      <c r="A293" s="28"/>
      <c r="B293" s="28"/>
      <c r="C293" s="28"/>
      <c r="D293" s="28"/>
    </row>
    <row r="294" spans="1:4">
      <c r="A294" s="28" t="s">
        <v>415</v>
      </c>
      <c r="B294" s="28"/>
      <c r="C294" s="28"/>
      <c r="D294" s="28"/>
    </row>
    <row r="295" spans="1:4">
      <c r="A295" s="28"/>
      <c r="B295" s="28"/>
      <c r="C295" s="28"/>
      <c r="D295" s="28"/>
    </row>
    <row r="296" spans="1:4">
      <c r="A296" s="28" t="s">
        <v>416</v>
      </c>
      <c r="B296" s="28"/>
      <c r="C296" s="28"/>
      <c r="D296" s="28"/>
    </row>
    <row r="297" spans="1:4">
      <c r="A297" s="28"/>
      <c r="B297" s="28"/>
      <c r="C297" s="28"/>
      <c r="D297" s="28"/>
    </row>
    <row r="298" spans="1:4" ht="15">
      <c r="A298" s="30" t="s">
        <v>417</v>
      </c>
      <c r="B298" s="28"/>
      <c r="C298" s="28"/>
      <c r="D298" s="28"/>
    </row>
    <row r="299" spans="1:4" ht="15">
      <c r="A299" s="30" t="s">
        <v>418</v>
      </c>
      <c r="B299" s="28"/>
      <c r="C299" s="28"/>
      <c r="D299" s="28"/>
    </row>
    <row r="300" spans="1:4">
      <c r="A300" s="28"/>
      <c r="B300" s="28"/>
      <c r="C300" s="28"/>
      <c r="D300" s="28"/>
    </row>
    <row r="301" spans="1:4" ht="18">
      <c r="A301" s="31" t="s">
        <v>419</v>
      </c>
      <c r="B301" s="28"/>
      <c r="C301" s="28"/>
      <c r="D301" s="28"/>
    </row>
    <row r="302" spans="1:4">
      <c r="A302" s="28"/>
      <c r="B302" s="28"/>
      <c r="C302" s="28"/>
      <c r="D302" s="28"/>
    </row>
    <row r="303" spans="1:4" ht="15">
      <c r="A303" s="30" t="s">
        <v>420</v>
      </c>
      <c r="B303" s="28"/>
      <c r="C303" s="28"/>
      <c r="D303" s="28"/>
    </row>
    <row r="304" spans="1:4" ht="15">
      <c r="A304" s="30" t="s">
        <v>421</v>
      </c>
      <c r="B304" s="28"/>
      <c r="C304" s="28"/>
      <c r="D304" s="28"/>
    </row>
    <row r="305" spans="1:4" ht="15">
      <c r="A305" s="30" t="s">
        <v>422</v>
      </c>
      <c r="B305" s="28"/>
      <c r="C305" s="28"/>
      <c r="D305" s="28"/>
    </row>
    <row r="306" spans="1:4" ht="15">
      <c r="A306" s="30" t="s">
        <v>423</v>
      </c>
      <c r="B306" s="28"/>
      <c r="C306" s="28"/>
      <c r="D306" s="28"/>
    </row>
    <row r="307" spans="1:4" ht="15">
      <c r="A307" s="30" t="s">
        <v>424</v>
      </c>
      <c r="B307" s="28"/>
      <c r="C307" s="28"/>
      <c r="D307" s="28"/>
    </row>
    <row r="308" spans="1:4" ht="15">
      <c r="A308" s="30" t="s">
        <v>294</v>
      </c>
      <c r="B308" s="28"/>
      <c r="C308" s="28"/>
      <c r="D308" s="28"/>
    </row>
    <row r="309" spans="1:4">
      <c r="A309" s="28"/>
      <c r="B309" s="28"/>
      <c r="C309" s="28"/>
      <c r="D309" s="28"/>
    </row>
    <row r="310" spans="1:4">
      <c r="A310" s="28" t="s">
        <v>425</v>
      </c>
      <c r="B310" s="28"/>
      <c r="C310" s="28"/>
      <c r="D310" s="28"/>
    </row>
    <row r="311" spans="1:4">
      <c r="A311" s="28"/>
      <c r="B311" s="28"/>
      <c r="C311" s="28"/>
      <c r="D311" s="28"/>
    </row>
    <row r="312" spans="1:4" ht="15">
      <c r="A312" s="30" t="s">
        <v>426</v>
      </c>
      <c r="B312" s="28"/>
      <c r="C312" s="28"/>
      <c r="D312" s="28"/>
    </row>
    <row r="313" spans="1:4" ht="15">
      <c r="A313" s="30" t="s">
        <v>427</v>
      </c>
      <c r="B313" s="28"/>
      <c r="C313" s="28"/>
      <c r="D313" s="28"/>
    </row>
    <row r="314" spans="1:4">
      <c r="A314" s="28"/>
      <c r="B314" s="28"/>
      <c r="C314" s="28"/>
      <c r="D314" s="28"/>
    </row>
    <row r="315" spans="1:4">
      <c r="A315" s="28" t="s">
        <v>428</v>
      </c>
      <c r="B315" s="28"/>
      <c r="C315" s="28"/>
      <c r="D315" s="28"/>
    </row>
    <row r="316" spans="1:4">
      <c r="A316" s="28"/>
      <c r="B316" s="28"/>
      <c r="C316" s="28"/>
      <c r="D316" s="28"/>
    </row>
    <row r="317" spans="1:4" ht="15">
      <c r="A317" s="30" t="s">
        <v>429</v>
      </c>
      <c r="B317" s="28"/>
      <c r="C317" s="28"/>
      <c r="D317" s="28"/>
    </row>
    <row r="318" spans="1:4" ht="15">
      <c r="A318" s="30" t="s">
        <v>430</v>
      </c>
      <c r="B318" s="28"/>
      <c r="C318" s="28"/>
      <c r="D318" s="28"/>
    </row>
    <row r="319" spans="1:4">
      <c r="A319" s="28"/>
      <c r="B319" s="28"/>
      <c r="C319" s="28"/>
      <c r="D319" s="28"/>
    </row>
    <row r="320" spans="1:4">
      <c r="A320" s="28"/>
      <c r="B320" s="28"/>
      <c r="C320" s="28"/>
      <c r="D320" s="28"/>
    </row>
    <row r="321" spans="1:4">
      <c r="A321" s="28"/>
      <c r="B321" s="28"/>
      <c r="C321" s="28"/>
      <c r="D321" s="28"/>
    </row>
    <row r="322" spans="1:4" ht="31.2">
      <c r="A322" s="29" t="s">
        <v>431</v>
      </c>
      <c r="B322" s="28"/>
      <c r="C322" s="28"/>
      <c r="D322" s="28"/>
    </row>
    <row r="323" spans="1:4">
      <c r="A323" s="28"/>
      <c r="B323" s="28"/>
      <c r="C323" s="28"/>
      <c r="D323" s="28"/>
    </row>
    <row r="324" spans="1:4">
      <c r="A324" s="28" t="s">
        <v>432</v>
      </c>
      <c r="B324" s="28"/>
      <c r="C324" s="28"/>
      <c r="D324" s="28"/>
    </row>
    <row r="325" spans="1:4">
      <c r="A325" s="28"/>
      <c r="B325" s="28"/>
      <c r="C325" s="28"/>
      <c r="D325" s="28"/>
    </row>
    <row r="326" spans="1:4" ht="15">
      <c r="A326" s="30" t="s">
        <v>403</v>
      </c>
      <c r="B326" s="28"/>
      <c r="C326" s="28"/>
      <c r="D326" s="28"/>
    </row>
    <row r="327" spans="1:4">
      <c r="A327" s="28"/>
      <c r="B327" s="28"/>
      <c r="C327" s="28"/>
      <c r="D327" s="28"/>
    </row>
    <row r="328" spans="1:4" ht="15">
      <c r="A328" s="30" t="s">
        <v>433</v>
      </c>
      <c r="B328" s="28"/>
      <c r="C328" s="28"/>
      <c r="D328" s="28"/>
    </row>
    <row r="329" spans="1:4" ht="15">
      <c r="A329" s="30" t="s">
        <v>434</v>
      </c>
      <c r="B329" s="28"/>
      <c r="C329" s="28"/>
      <c r="D329" s="28"/>
    </row>
    <row r="330" spans="1:4" ht="15">
      <c r="A330" s="30" t="s">
        <v>435</v>
      </c>
      <c r="B330" s="28"/>
      <c r="C330" s="28"/>
      <c r="D330" s="28"/>
    </row>
    <row r="331" spans="1:4">
      <c r="A331" s="28"/>
      <c r="B331" s="28"/>
      <c r="C331" s="28"/>
      <c r="D331" s="28"/>
    </row>
    <row r="332" spans="1:4">
      <c r="A332" s="28" t="s">
        <v>436</v>
      </c>
      <c r="B332" s="28"/>
      <c r="C332" s="28"/>
      <c r="D332" s="28"/>
    </row>
    <row r="333" spans="1:4">
      <c r="A333" s="28"/>
      <c r="B333" s="28"/>
      <c r="C333" s="28"/>
      <c r="D333" s="28"/>
    </row>
    <row r="334" spans="1:4">
      <c r="A334" s="28" t="s">
        <v>437</v>
      </c>
      <c r="B334" s="28"/>
      <c r="C334" s="28"/>
      <c r="D334" s="28"/>
    </row>
    <row r="335" spans="1:4">
      <c r="A335" s="28"/>
      <c r="B335" s="28"/>
      <c r="C335" s="28"/>
      <c r="D335" s="28"/>
    </row>
    <row r="336" spans="1:4">
      <c r="A336" s="28" t="s">
        <v>438</v>
      </c>
      <c r="B336" s="28"/>
      <c r="C336" s="28"/>
      <c r="D336" s="28"/>
    </row>
    <row r="337" spans="1:4">
      <c r="A337" s="28"/>
      <c r="B337" s="28"/>
      <c r="C337" s="28"/>
      <c r="D337" s="28"/>
    </row>
    <row r="338" spans="1:4" ht="15">
      <c r="A338" s="30" t="s">
        <v>439</v>
      </c>
      <c r="B338" s="28"/>
      <c r="C338" s="28"/>
      <c r="D338" s="28"/>
    </row>
    <row r="339" spans="1:4" ht="15">
      <c r="A339" s="30" t="s">
        <v>440</v>
      </c>
      <c r="B339" s="28"/>
      <c r="C339" s="28"/>
      <c r="D339" s="28"/>
    </row>
    <row r="340" spans="1:4" ht="15">
      <c r="A340" s="30" t="s">
        <v>441</v>
      </c>
      <c r="B340" s="28"/>
      <c r="C340" s="28"/>
      <c r="D340" s="28"/>
    </row>
    <row r="341" spans="1:4">
      <c r="A341" s="28"/>
      <c r="B341" s="28"/>
      <c r="C341" s="28"/>
      <c r="D341" s="28"/>
    </row>
    <row r="342" spans="1:4">
      <c r="A342" s="28" t="s">
        <v>442</v>
      </c>
      <c r="B342" s="28"/>
      <c r="C342" s="28"/>
      <c r="D342" s="28"/>
    </row>
    <row r="343" spans="1:4">
      <c r="A343" s="28"/>
      <c r="B343" s="28"/>
      <c r="C343" s="28"/>
      <c r="D343" s="28"/>
    </row>
    <row r="344" spans="1:4" ht="15">
      <c r="A344" s="30" t="s">
        <v>443</v>
      </c>
      <c r="B344" s="28"/>
      <c r="C344" s="28"/>
      <c r="D344" s="28"/>
    </row>
    <row r="345" spans="1:4" ht="15">
      <c r="A345" s="30" t="s">
        <v>444</v>
      </c>
      <c r="B345" s="28"/>
      <c r="C345" s="28"/>
      <c r="D345" s="28"/>
    </row>
    <row r="346" spans="1:4" ht="15">
      <c r="A346" s="30" t="s">
        <v>445</v>
      </c>
      <c r="B346" s="28"/>
      <c r="C346" s="28"/>
      <c r="D346" s="28"/>
    </row>
    <row r="347" spans="1:4">
      <c r="A347" s="28"/>
      <c r="B347" s="28"/>
      <c r="C347" s="28"/>
      <c r="D347" s="28"/>
    </row>
    <row r="348" spans="1:4">
      <c r="A348" s="28" t="s">
        <v>446</v>
      </c>
      <c r="B348" s="28"/>
      <c r="C348" s="28"/>
      <c r="D348" s="28"/>
    </row>
    <row r="349" spans="1:4">
      <c r="A349" s="28"/>
      <c r="B349" s="28"/>
      <c r="C349" s="28"/>
      <c r="D349" s="28"/>
    </row>
    <row r="350" spans="1:4" ht="31.2">
      <c r="A350" s="29" t="s">
        <v>447</v>
      </c>
      <c r="B350" s="28"/>
      <c r="C350" s="28"/>
      <c r="D350" s="28"/>
    </row>
    <row r="351" spans="1:4">
      <c r="A351" s="28"/>
      <c r="B351" s="28"/>
      <c r="C351" s="28"/>
      <c r="D351" s="28"/>
    </row>
    <row r="352" spans="1:4">
      <c r="A352" s="28"/>
      <c r="B352" s="28"/>
      <c r="C352" s="28"/>
      <c r="D352" s="28"/>
    </row>
    <row r="353" spans="1:4">
      <c r="A353" s="28"/>
      <c r="B353" s="28"/>
      <c r="C353" s="28"/>
      <c r="D353" s="28"/>
    </row>
    <row r="354" spans="1:4" ht="31.2">
      <c r="A354" s="29" t="s">
        <v>448</v>
      </c>
      <c r="B354" s="28"/>
      <c r="C354" s="28"/>
      <c r="D354" s="28"/>
    </row>
    <row r="355" spans="1:4">
      <c r="A355" s="28"/>
      <c r="B355" s="28"/>
      <c r="C355" s="28"/>
      <c r="D355" s="28"/>
    </row>
    <row r="356" spans="1:4" ht="18">
      <c r="A356" s="31" t="s">
        <v>449</v>
      </c>
      <c r="B356" s="28"/>
      <c r="C356" s="28"/>
      <c r="D356" s="28"/>
    </row>
    <row r="357" spans="1:4">
      <c r="A357" s="28"/>
      <c r="B357" s="28"/>
      <c r="C357" s="28"/>
      <c r="D357" s="28"/>
    </row>
    <row r="358" spans="1:4" ht="15">
      <c r="A358" s="30" t="s">
        <v>450</v>
      </c>
      <c r="B358" s="28"/>
      <c r="C358" s="28"/>
      <c r="D358" s="28"/>
    </row>
    <row r="359" spans="1:4" ht="15">
      <c r="A359" s="30" t="s">
        <v>451</v>
      </c>
      <c r="B359" s="28"/>
      <c r="C359" s="28"/>
      <c r="D359" s="28"/>
    </row>
    <row r="360" spans="1:4" ht="15">
      <c r="A360" s="30" t="s">
        <v>452</v>
      </c>
      <c r="B360" s="28"/>
      <c r="C360" s="28"/>
      <c r="D360" s="28"/>
    </row>
    <row r="361" spans="1:4" ht="15">
      <c r="A361" s="30" t="s">
        <v>453</v>
      </c>
      <c r="B361" s="28"/>
      <c r="C361" s="28"/>
      <c r="D361" s="28"/>
    </row>
    <row r="362" spans="1:4" ht="15">
      <c r="A362" s="30" t="s">
        <v>454</v>
      </c>
      <c r="B362" s="28"/>
      <c r="C362" s="28"/>
      <c r="D362" s="28"/>
    </row>
    <row r="363" spans="1:4" ht="15">
      <c r="A363" s="30" t="s">
        <v>455</v>
      </c>
      <c r="B363" s="28"/>
      <c r="C363" s="28"/>
      <c r="D363" s="28"/>
    </row>
    <row r="364" spans="1:4" ht="15">
      <c r="A364" s="30" t="s">
        <v>161</v>
      </c>
      <c r="B364" s="28"/>
      <c r="C364" s="28"/>
      <c r="D364" s="28"/>
    </row>
    <row r="365" spans="1:4" ht="15">
      <c r="A365" s="30" t="s">
        <v>308</v>
      </c>
      <c r="B365" s="28"/>
      <c r="C365" s="28"/>
      <c r="D365" s="28"/>
    </row>
    <row r="366" spans="1:4" ht="15">
      <c r="A366" s="30" t="s">
        <v>456</v>
      </c>
      <c r="B366" s="28"/>
      <c r="C366" s="28"/>
      <c r="D366" s="28"/>
    </row>
    <row r="367" spans="1:4" ht="15">
      <c r="A367" s="30" t="s">
        <v>294</v>
      </c>
      <c r="B367" s="28"/>
      <c r="C367" s="28"/>
      <c r="D367" s="28"/>
    </row>
    <row r="368" spans="1:4">
      <c r="A368" s="28"/>
      <c r="B368" s="28"/>
      <c r="C368" s="28"/>
      <c r="D368" s="28"/>
    </row>
    <row r="369" spans="1:4">
      <c r="A369" s="28" t="s">
        <v>457</v>
      </c>
      <c r="B369" s="28"/>
      <c r="C369" s="28"/>
      <c r="D369" s="28"/>
    </row>
    <row r="370" spans="1:4">
      <c r="A370" s="28"/>
      <c r="B370" s="28"/>
      <c r="C370" s="28"/>
      <c r="D370" s="28"/>
    </row>
    <row r="371" spans="1:4" ht="15">
      <c r="A371" s="30" t="s">
        <v>458</v>
      </c>
      <c r="B371" s="28"/>
      <c r="C371" s="28"/>
      <c r="D371" s="28"/>
    </row>
    <row r="372" spans="1:4">
      <c r="A372" s="28"/>
      <c r="B372" s="28"/>
      <c r="C372" s="28"/>
      <c r="D372" s="28"/>
    </row>
    <row r="373" spans="1:4">
      <c r="A373" s="28" t="s">
        <v>459</v>
      </c>
      <c r="B373" s="28"/>
      <c r="C373" s="28"/>
      <c r="D373" s="28"/>
    </row>
    <row r="374" spans="1:4">
      <c r="A374" s="4"/>
      <c r="B374" s="28"/>
      <c r="C374" s="28"/>
      <c r="D374" s="28"/>
    </row>
    <row r="375" spans="1:4">
      <c r="A375" s="4" t="s">
        <v>460</v>
      </c>
      <c r="B375" s="28"/>
      <c r="C375" s="28"/>
      <c r="D375" s="28"/>
    </row>
    <row r="376" spans="1:4">
      <c r="A376" s="28"/>
      <c r="B376" s="28"/>
      <c r="C376" s="28"/>
      <c r="D376" s="28"/>
    </row>
    <row r="377" spans="1:4">
      <c r="A377" s="28"/>
      <c r="B377" s="28"/>
      <c r="C377" s="28"/>
      <c r="D377" s="28"/>
    </row>
    <row r="378" spans="1:4">
      <c r="A378" s="28"/>
      <c r="B378" s="28"/>
      <c r="C378" s="28"/>
      <c r="D378" s="28"/>
    </row>
    <row r="379" spans="1:4" ht="31.2">
      <c r="A379" s="29" t="s">
        <v>461</v>
      </c>
      <c r="B379" s="28"/>
      <c r="C379" s="28"/>
      <c r="D379" s="28"/>
    </row>
    <row r="380" spans="1:4">
      <c r="A380" s="28"/>
      <c r="B380" s="28"/>
      <c r="C380" s="28"/>
      <c r="D380" s="28"/>
    </row>
    <row r="381" spans="1:4">
      <c r="A381" s="28" t="s">
        <v>462</v>
      </c>
      <c r="B381" s="28"/>
      <c r="C381" s="28"/>
      <c r="D381" s="28"/>
    </row>
    <row r="382" spans="1:4">
      <c r="A382" s="28"/>
      <c r="B382" s="28"/>
      <c r="C382" s="28"/>
      <c r="D382" s="28"/>
    </row>
    <row r="383" spans="1:4" ht="18">
      <c r="A383" s="31" t="s">
        <v>463</v>
      </c>
      <c r="B383" s="28"/>
      <c r="C383" s="28"/>
      <c r="D383" s="28"/>
    </row>
    <row r="384" spans="1:4">
      <c r="A384" s="28"/>
      <c r="B384" s="28"/>
      <c r="C384" s="28"/>
      <c r="D384" s="28"/>
    </row>
    <row r="385" spans="1:4" ht="15">
      <c r="A385" s="30" t="s">
        <v>464</v>
      </c>
      <c r="B385" s="28"/>
      <c r="C385" s="28"/>
      <c r="D385" s="28"/>
    </row>
    <row r="386" spans="1:4" ht="15">
      <c r="A386" s="30" t="s">
        <v>465</v>
      </c>
      <c r="B386" s="28"/>
      <c r="C386" s="28"/>
      <c r="D386" s="28"/>
    </row>
    <row r="387" spans="1:4" ht="15">
      <c r="A387" s="30" t="s">
        <v>466</v>
      </c>
      <c r="B387" s="28"/>
      <c r="C387" s="28"/>
      <c r="D387" s="28"/>
    </row>
    <row r="388" spans="1:4" ht="15">
      <c r="A388" s="30" t="s">
        <v>467</v>
      </c>
      <c r="B388" s="28"/>
      <c r="C388" s="28"/>
      <c r="D388" s="28"/>
    </row>
    <row r="389" spans="1:4" ht="15">
      <c r="A389" s="30" t="s">
        <v>319</v>
      </c>
      <c r="B389" s="28"/>
      <c r="C389" s="28"/>
      <c r="D389" s="28"/>
    </row>
    <row r="390" spans="1:4" ht="15">
      <c r="A390" s="30" t="s">
        <v>294</v>
      </c>
      <c r="B390" s="28"/>
      <c r="C390" s="28"/>
      <c r="D390" s="28"/>
    </row>
    <row r="391" spans="1:4">
      <c r="A391" s="28"/>
      <c r="B391" s="28"/>
      <c r="C391" s="28"/>
      <c r="D391" s="28"/>
    </row>
    <row r="392" spans="1:4">
      <c r="A392" s="28" t="s">
        <v>468</v>
      </c>
      <c r="B392" s="28"/>
      <c r="C392" s="28"/>
      <c r="D392" s="28"/>
    </row>
    <row r="393" spans="1:4">
      <c r="A393" s="28"/>
      <c r="B393" s="28"/>
      <c r="C393" s="28"/>
      <c r="D393" s="28"/>
    </row>
    <row r="394" spans="1:4" ht="15">
      <c r="A394" s="30" t="s">
        <v>469</v>
      </c>
      <c r="B394" s="28"/>
      <c r="C394" s="28"/>
      <c r="D394" s="28"/>
    </row>
    <row r="395" spans="1:4" ht="15">
      <c r="A395" s="30" t="s">
        <v>266</v>
      </c>
      <c r="B395" s="28"/>
      <c r="C395" s="28"/>
      <c r="D395" s="28"/>
    </row>
    <row r="396" spans="1:4" ht="15">
      <c r="A396" s="30" t="s">
        <v>470</v>
      </c>
      <c r="B396" s="28"/>
      <c r="C396" s="28"/>
      <c r="D396" s="28"/>
    </row>
    <row r="397" spans="1:4" ht="15">
      <c r="A397" s="30" t="s">
        <v>266</v>
      </c>
      <c r="B397" s="28"/>
      <c r="C397" s="28"/>
      <c r="D397" s="28"/>
    </row>
    <row r="398" spans="1:4" ht="15">
      <c r="A398" s="30" t="s">
        <v>447</v>
      </c>
      <c r="B398" s="28"/>
      <c r="C398" s="28"/>
      <c r="D398" s="28"/>
    </row>
    <row r="399" spans="1:4" ht="15">
      <c r="A399" s="30" t="s">
        <v>266</v>
      </c>
      <c r="B399" s="28"/>
      <c r="C399" s="28"/>
      <c r="D399" s="28"/>
    </row>
    <row r="400" spans="1:4" ht="15">
      <c r="A400" s="30" t="s">
        <v>471</v>
      </c>
      <c r="B400" s="28"/>
      <c r="C400" s="28"/>
      <c r="D400" s="28"/>
    </row>
    <row r="401" spans="1:4" ht="15">
      <c r="A401" s="30" t="s">
        <v>266</v>
      </c>
      <c r="B401" s="28"/>
      <c r="C401" s="28"/>
      <c r="D401" s="28"/>
    </row>
    <row r="402" spans="1:4" ht="15">
      <c r="A402" s="30" t="s">
        <v>274</v>
      </c>
      <c r="B402" s="28"/>
      <c r="C402" s="28"/>
      <c r="D402" s="28"/>
    </row>
    <row r="403" spans="1:4">
      <c r="A403" s="28"/>
      <c r="B403" s="28"/>
      <c r="C403" s="28"/>
      <c r="D403" s="28"/>
    </row>
    <row r="404" spans="1:4">
      <c r="A404" s="28" t="s">
        <v>472</v>
      </c>
      <c r="B404" s="28"/>
      <c r="C404" s="28"/>
      <c r="D404" s="28"/>
    </row>
    <row r="405" spans="1:4">
      <c r="A405" s="28"/>
      <c r="B405" s="28"/>
      <c r="C405" s="28"/>
      <c r="D405" s="28"/>
    </row>
    <row r="406" spans="1:4">
      <c r="A406" s="28"/>
      <c r="B406" s="28"/>
      <c r="C406" s="28"/>
      <c r="D406" s="28"/>
    </row>
    <row r="407" spans="1:4">
      <c r="A407" s="28"/>
      <c r="B407" s="28"/>
      <c r="C407" s="28"/>
      <c r="D407" s="28"/>
    </row>
    <row r="408" spans="1:4" ht="31.2">
      <c r="A408" s="29" t="s">
        <v>473</v>
      </c>
      <c r="B408" s="28"/>
      <c r="C408" s="28"/>
      <c r="D408" s="28"/>
    </row>
    <row r="409" spans="1:4">
      <c r="A409" s="28"/>
      <c r="B409" s="28"/>
      <c r="C409" s="28"/>
      <c r="D409" s="28"/>
    </row>
    <row r="410" spans="1:4" ht="18">
      <c r="A410" s="31" t="s">
        <v>474</v>
      </c>
      <c r="B410" s="28"/>
      <c r="C410" s="28"/>
      <c r="D410" s="28"/>
    </row>
    <row r="411" spans="1:4">
      <c r="A411" s="28"/>
      <c r="B411" s="28"/>
      <c r="C411" s="28"/>
      <c r="D411" s="28"/>
    </row>
    <row r="412" spans="1:4" ht="15">
      <c r="A412" s="30" t="s">
        <v>475</v>
      </c>
      <c r="B412" s="28"/>
      <c r="C412" s="28"/>
      <c r="D412" s="28"/>
    </row>
    <row r="413" spans="1:4">
      <c r="A413" s="28"/>
      <c r="B413" s="28"/>
      <c r="C413" s="28"/>
      <c r="D413" s="28"/>
    </row>
    <row r="414" spans="1:4">
      <c r="A414" s="28" t="s">
        <v>476</v>
      </c>
      <c r="B414" s="28"/>
      <c r="C414" s="28"/>
      <c r="D414" s="28"/>
    </row>
    <row r="415" spans="1:4">
      <c r="A415" s="28"/>
      <c r="B415" s="28"/>
      <c r="C415" s="28"/>
      <c r="D415" s="28"/>
    </row>
    <row r="416" spans="1:4">
      <c r="A416" s="28" t="s">
        <v>477</v>
      </c>
      <c r="B416" s="28"/>
      <c r="C416" s="28"/>
      <c r="D416" s="28"/>
    </row>
    <row r="417" spans="1:4">
      <c r="A417" s="28"/>
      <c r="B417" s="28"/>
      <c r="C417" s="28"/>
      <c r="D417" s="28"/>
    </row>
    <row r="418" spans="1:4">
      <c r="A418" s="28"/>
      <c r="B418" s="28"/>
      <c r="C418" s="28"/>
      <c r="D418" s="28"/>
    </row>
    <row r="419" spans="1:4">
      <c r="A419" s="28"/>
      <c r="B419" s="28"/>
      <c r="C419" s="28"/>
      <c r="D419" s="28"/>
    </row>
    <row r="420" spans="1:4" ht="31.2">
      <c r="A420" s="29" t="s">
        <v>478</v>
      </c>
      <c r="B420" s="28"/>
      <c r="C420" s="28"/>
      <c r="D420" s="28"/>
    </row>
    <row r="421" spans="1:4">
      <c r="A421" s="28"/>
      <c r="B421" s="28"/>
      <c r="C421" s="28"/>
      <c r="D421" s="28"/>
    </row>
    <row r="422" spans="1:4" ht="18">
      <c r="A422" s="31" t="s">
        <v>479</v>
      </c>
      <c r="B422" s="28"/>
      <c r="C422" s="28"/>
      <c r="D422" s="28"/>
    </row>
    <row r="423" spans="1:4">
      <c r="A423" s="28"/>
      <c r="B423" s="28"/>
      <c r="C423" s="28"/>
      <c r="D423" s="28"/>
    </row>
    <row r="424" spans="1:4" ht="15">
      <c r="A424" s="30" t="s">
        <v>480</v>
      </c>
      <c r="B424" s="28"/>
      <c r="C424" s="28"/>
      <c r="D424" s="28"/>
    </row>
    <row r="425" spans="1:4">
      <c r="A425" s="28"/>
      <c r="B425" s="28"/>
      <c r="C425" s="28"/>
      <c r="D425" s="28"/>
    </row>
    <row r="426" spans="1:4" ht="15">
      <c r="A426" s="30" t="s">
        <v>481</v>
      </c>
      <c r="B426" s="28"/>
      <c r="C426" s="28"/>
      <c r="D426" s="28"/>
    </row>
    <row r="427" spans="1:4">
      <c r="A427" s="28"/>
      <c r="B427" s="28"/>
      <c r="C427" s="28"/>
      <c r="D427" s="28"/>
    </row>
    <row r="428" spans="1:4">
      <c r="A428" s="28" t="s">
        <v>482</v>
      </c>
      <c r="B428" s="28"/>
      <c r="C428" s="28"/>
      <c r="D428" s="28"/>
    </row>
    <row r="429" spans="1:4">
      <c r="A429" s="28"/>
      <c r="B429" s="28"/>
      <c r="C429" s="28"/>
      <c r="D429" s="28"/>
    </row>
    <row r="430" spans="1:4" ht="15">
      <c r="A430" s="30" t="s">
        <v>483</v>
      </c>
      <c r="B430" s="28"/>
      <c r="C430" s="28"/>
      <c r="D430" s="28"/>
    </row>
    <row r="431" spans="1:4" ht="15">
      <c r="A431" s="30">
        <v>41900.699999999997</v>
      </c>
      <c r="B431" s="28"/>
      <c r="C431" s="28"/>
      <c r="D431" s="28"/>
    </row>
    <row r="432" spans="1:4" ht="15">
      <c r="A432" s="30">
        <v>91500.2</v>
      </c>
      <c r="B432" s="28"/>
      <c r="C432" s="28"/>
      <c r="D432" s="28"/>
    </row>
    <row r="433" spans="1:4" ht="15">
      <c r="A433" s="30" t="s">
        <v>484</v>
      </c>
      <c r="B433" s="28"/>
      <c r="C433" s="28"/>
      <c r="D433" s="28"/>
    </row>
    <row r="434" spans="1:4">
      <c r="A434" s="28"/>
      <c r="B434" s="28"/>
      <c r="C434" s="28"/>
      <c r="D434" s="28"/>
    </row>
    <row r="435" spans="1:4">
      <c r="A435" s="28" t="s">
        <v>485</v>
      </c>
      <c r="B435" s="28"/>
      <c r="C435" s="28"/>
      <c r="D435" s="28"/>
    </row>
    <row r="436" spans="1:4">
      <c r="A436" s="28"/>
      <c r="B436" s="28"/>
      <c r="C436" s="28"/>
      <c r="D436" s="28"/>
    </row>
    <row r="437" spans="1:4">
      <c r="A437" s="28"/>
      <c r="B437" s="28"/>
      <c r="C437" s="28"/>
      <c r="D437" s="28"/>
    </row>
    <row r="438" spans="1:4">
      <c r="A438" s="28"/>
      <c r="B438" s="28"/>
      <c r="C438" s="28"/>
      <c r="D438" s="28"/>
    </row>
    <row r="439" spans="1:4" ht="31.2">
      <c r="A439" s="29" t="s">
        <v>486</v>
      </c>
      <c r="B439" s="28"/>
      <c r="C439" s="28"/>
      <c r="D439" s="28"/>
    </row>
    <row r="440" spans="1:4">
      <c r="A440" s="28"/>
      <c r="B440" s="28"/>
      <c r="C440" s="28"/>
      <c r="D440" s="28"/>
    </row>
    <row r="441" spans="1:4" ht="18">
      <c r="A441" s="31" t="s">
        <v>487</v>
      </c>
      <c r="B441" s="28"/>
      <c r="C441" s="28"/>
      <c r="D441" s="28"/>
    </row>
    <row r="442" spans="1:4">
      <c r="A442" s="28"/>
      <c r="B442" s="28"/>
      <c r="C442" s="28"/>
      <c r="D442" s="28"/>
    </row>
    <row r="443" spans="1:4" ht="15">
      <c r="A443" s="30" t="s">
        <v>488</v>
      </c>
      <c r="B443" s="28"/>
      <c r="C443" s="28"/>
      <c r="D443" s="28"/>
    </row>
    <row r="444" spans="1:4" ht="15">
      <c r="A444" s="30" t="s">
        <v>489</v>
      </c>
      <c r="B444" s="28"/>
      <c r="C444" s="28"/>
      <c r="D444" s="28"/>
    </row>
    <row r="445" spans="1:4" ht="15">
      <c r="A445" s="30" t="s">
        <v>490</v>
      </c>
      <c r="B445" s="28"/>
      <c r="C445" s="28"/>
      <c r="D445" s="28"/>
    </row>
    <row r="446" spans="1:4" ht="15">
      <c r="A446" s="30" t="s">
        <v>491</v>
      </c>
      <c r="B446" s="28"/>
      <c r="C446" s="28"/>
      <c r="D446" s="28"/>
    </row>
    <row r="447" spans="1:4">
      <c r="A447" s="28"/>
      <c r="B447" s="28"/>
      <c r="C447" s="28"/>
      <c r="D447" s="28"/>
    </row>
    <row r="448" spans="1:4" ht="15">
      <c r="A448" s="30" t="s">
        <v>492</v>
      </c>
      <c r="B448" s="28"/>
      <c r="C448" s="28"/>
      <c r="D448" s="28"/>
    </row>
    <row r="449" spans="1:4">
      <c r="A449" s="28"/>
      <c r="B449" s="28"/>
      <c r="C449" s="28"/>
      <c r="D449" s="28"/>
    </row>
    <row r="450" spans="1:4">
      <c r="A450" s="28" t="s">
        <v>493</v>
      </c>
      <c r="B450" s="28"/>
      <c r="C450" s="28"/>
      <c r="D450" s="28"/>
    </row>
    <row r="451" spans="1:4">
      <c r="A451" s="28"/>
      <c r="B451" s="28"/>
      <c r="C451" s="28"/>
      <c r="D451" s="28"/>
    </row>
    <row r="452" spans="1:4">
      <c r="A452" s="28" t="s">
        <v>438</v>
      </c>
      <c r="B452" s="28"/>
      <c r="C452" s="28"/>
      <c r="D452" s="28"/>
    </row>
    <row r="453" spans="1:4">
      <c r="A453" s="28"/>
      <c r="B453" s="28"/>
      <c r="C453" s="28"/>
      <c r="D453" s="28"/>
    </row>
    <row r="454" spans="1:4" ht="28.8">
      <c r="A454" s="23" t="s">
        <v>494</v>
      </c>
      <c r="B454" s="23" t="s">
        <v>495</v>
      </c>
      <c r="C454" s="28"/>
      <c r="D454" s="28"/>
    </row>
    <row r="455" spans="1:4">
      <c r="A455" s="24">
        <v>70000</v>
      </c>
      <c r="B455" s="24">
        <v>69000</v>
      </c>
      <c r="C455" s="28"/>
      <c r="D455" s="28"/>
    </row>
    <row r="456" spans="1:4">
      <c r="A456" s="24">
        <v>40000</v>
      </c>
      <c r="B456" s="24">
        <v>41900</v>
      </c>
      <c r="C456" s="28"/>
      <c r="D456" s="28"/>
    </row>
    <row r="457" spans="1:4">
      <c r="A457" s="24">
        <v>90000</v>
      </c>
      <c r="B457" s="24">
        <v>91500</v>
      </c>
      <c r="C457" s="28"/>
      <c r="D457" s="28"/>
    </row>
    <row r="458" spans="1:4">
      <c r="A458" s="24">
        <v>58000</v>
      </c>
      <c r="B458" s="24">
        <v>57000</v>
      </c>
      <c r="C458" s="28"/>
      <c r="D458" s="28"/>
    </row>
    <row r="459" spans="1:4">
      <c r="A459" s="28"/>
      <c r="B459" s="28"/>
      <c r="C459" s="28"/>
      <c r="D459" s="28"/>
    </row>
    <row r="460" spans="1:4">
      <c r="A460" s="28"/>
      <c r="B460" s="28"/>
      <c r="C460" s="28"/>
      <c r="D460" s="28"/>
    </row>
    <row r="461" spans="1:4" ht="31.2">
      <c r="A461" s="29" t="s">
        <v>496</v>
      </c>
      <c r="B461" s="28"/>
      <c r="C461" s="28"/>
      <c r="D461" s="28"/>
    </row>
    <row r="462" spans="1:4">
      <c r="A462" s="28"/>
      <c r="B462" s="28"/>
      <c r="C462" s="28"/>
      <c r="D462" s="28"/>
    </row>
    <row r="463" spans="1:4">
      <c r="A463" s="28" t="s">
        <v>497</v>
      </c>
      <c r="B463" s="28"/>
      <c r="C463" s="28"/>
      <c r="D463" s="28"/>
    </row>
    <row r="464" spans="1:4">
      <c r="A464" s="28"/>
      <c r="B464" s="28"/>
      <c r="C464" s="28"/>
      <c r="D464" s="28"/>
    </row>
    <row r="465" spans="1:4">
      <c r="A465" s="28" t="s">
        <v>498</v>
      </c>
      <c r="B465" s="28"/>
      <c r="C465" s="28"/>
      <c r="D465" s="28"/>
    </row>
    <row r="466" spans="1:4">
      <c r="A466" s="4"/>
      <c r="B466" s="28"/>
      <c r="C466" s="28"/>
      <c r="D466" s="28"/>
    </row>
    <row r="467" spans="1:4">
      <c r="A467" s="4" t="s">
        <v>499</v>
      </c>
      <c r="B467" s="28"/>
      <c r="C467" s="28"/>
      <c r="D467" s="28"/>
    </row>
    <row r="468" spans="1:4">
      <c r="A468" s="4" t="s">
        <v>500</v>
      </c>
      <c r="B468" s="28"/>
      <c r="C468" s="28"/>
      <c r="D468" s="28"/>
    </row>
    <row r="469" spans="1:4">
      <c r="A469" s="4" t="s">
        <v>501</v>
      </c>
      <c r="B469" s="28"/>
      <c r="C469" s="28"/>
      <c r="D469" s="28"/>
    </row>
    <row r="470" spans="1:4">
      <c r="A470" s="4" t="s">
        <v>502</v>
      </c>
      <c r="B470" s="28"/>
      <c r="C470" s="28"/>
      <c r="D470" s="28"/>
    </row>
    <row r="471" spans="1:4">
      <c r="A471" s="28"/>
      <c r="B471" s="28"/>
      <c r="C471" s="28"/>
      <c r="D471" s="28"/>
    </row>
    <row r="472" spans="1:4">
      <c r="A472" s="28"/>
      <c r="B472" s="28"/>
      <c r="C472" s="28"/>
      <c r="D472" s="28"/>
    </row>
    <row r="473" spans="1:4">
      <c r="A473" s="28"/>
      <c r="B473" s="28"/>
      <c r="C473" s="28"/>
      <c r="D473" s="28"/>
    </row>
    <row r="474" spans="1:4" ht="18">
      <c r="A474" s="31" t="s">
        <v>503</v>
      </c>
      <c r="B474" s="28"/>
      <c r="C474" s="28"/>
      <c r="D474" s="28"/>
    </row>
    <row r="475" spans="1:4">
      <c r="A475" s="28"/>
      <c r="B475" s="28"/>
      <c r="C475" s="28"/>
      <c r="D475" s="28"/>
    </row>
    <row r="476" spans="1:4" ht="15">
      <c r="A476" s="30" t="s">
        <v>504</v>
      </c>
      <c r="B476" s="28"/>
      <c r="C476" s="28"/>
      <c r="D476" s="28"/>
    </row>
    <row r="477" spans="1:4">
      <c r="A477" s="28"/>
      <c r="B477" s="28"/>
      <c r="C477" s="28"/>
      <c r="D477" s="28"/>
    </row>
    <row r="478" spans="1:4" ht="15">
      <c r="A478" s="30" t="s">
        <v>505</v>
      </c>
      <c r="B478" s="28"/>
      <c r="C478" s="28"/>
      <c r="D478" s="28"/>
    </row>
    <row r="479" spans="1:4">
      <c r="A479" s="28"/>
      <c r="B479" s="28"/>
      <c r="C479" s="28"/>
      <c r="D479" s="28"/>
    </row>
    <row r="480" spans="1:4" ht="15">
      <c r="A480" s="30" t="s">
        <v>506</v>
      </c>
      <c r="B480" s="28"/>
      <c r="C480" s="28"/>
      <c r="D480" s="28"/>
    </row>
    <row r="481" spans="1:4">
      <c r="A481" s="28"/>
      <c r="B481" s="28"/>
      <c r="C481" s="28"/>
      <c r="D481" s="28"/>
    </row>
    <row r="482" spans="1:4" ht="15">
      <c r="A482" s="30" t="s">
        <v>507</v>
      </c>
      <c r="B482" s="28"/>
      <c r="C482" s="28"/>
      <c r="D482" s="28"/>
    </row>
    <row r="483" spans="1:4">
      <c r="A483" s="28"/>
      <c r="B483" s="28"/>
      <c r="C483" s="28"/>
      <c r="D483" s="28"/>
    </row>
    <row r="484" spans="1:4" ht="15">
      <c r="A484" s="30" t="s">
        <v>508</v>
      </c>
      <c r="B484" s="28"/>
      <c r="C484" s="28"/>
      <c r="D484" s="28"/>
    </row>
    <row r="485" spans="1:4" ht="15">
      <c r="A485" s="30" t="s">
        <v>509</v>
      </c>
      <c r="B485" s="28"/>
      <c r="C485" s="28"/>
      <c r="D485" s="28"/>
    </row>
    <row r="486" spans="1:4" ht="15">
      <c r="A486" s="30" t="s">
        <v>510</v>
      </c>
      <c r="B486" s="28"/>
      <c r="C486" s="28"/>
      <c r="D486" s="28"/>
    </row>
    <row r="487" spans="1:4" ht="15">
      <c r="A487" s="30" t="s">
        <v>511</v>
      </c>
      <c r="B487" s="28"/>
      <c r="C487" s="28"/>
      <c r="D487" s="28"/>
    </row>
    <row r="488" spans="1:4">
      <c r="A488" s="28"/>
      <c r="B488" s="28"/>
      <c r="C488" s="28"/>
      <c r="D488" s="28"/>
    </row>
    <row r="489" spans="1:4">
      <c r="A489" s="28"/>
      <c r="B489" s="28"/>
      <c r="C489" s="28"/>
      <c r="D489" s="28"/>
    </row>
    <row r="490" spans="1:4">
      <c r="A490" s="28"/>
      <c r="B490" s="28"/>
      <c r="C490" s="28"/>
      <c r="D490" s="28"/>
    </row>
    <row r="491" spans="1:4" ht="31.2">
      <c r="A491" s="29" t="s">
        <v>512</v>
      </c>
      <c r="B491" s="28"/>
      <c r="C491" s="28"/>
      <c r="D491" s="28"/>
    </row>
    <row r="492" spans="1:4">
      <c r="A492" s="28"/>
      <c r="B492" s="28"/>
      <c r="C492" s="28"/>
      <c r="D492" s="28"/>
    </row>
    <row r="493" spans="1:4" ht="18">
      <c r="A493" s="31" t="s">
        <v>513</v>
      </c>
      <c r="B493" s="28"/>
      <c r="C493" s="28"/>
      <c r="D493" s="28"/>
    </row>
    <row r="494" spans="1:4">
      <c r="A494" s="28"/>
      <c r="B494" s="28"/>
      <c r="C494" s="28"/>
      <c r="D494" s="28"/>
    </row>
    <row r="495" spans="1:4" ht="15">
      <c r="A495" s="30" t="s">
        <v>514</v>
      </c>
      <c r="B495" s="28"/>
      <c r="C495" s="28"/>
      <c r="D495" s="28"/>
    </row>
    <row r="496" spans="1:4">
      <c r="A496" s="28"/>
      <c r="B496" s="28"/>
      <c r="C496" s="28"/>
      <c r="D496" s="28"/>
    </row>
    <row r="497" spans="1:4">
      <c r="A497" s="28" t="s">
        <v>515</v>
      </c>
      <c r="B497" s="28"/>
      <c r="C497" s="28"/>
      <c r="D497" s="28"/>
    </row>
    <row r="498" spans="1:4">
      <c r="A498" s="28"/>
      <c r="B498" s="28"/>
      <c r="C498" s="28"/>
      <c r="D498" s="28"/>
    </row>
    <row r="499" spans="1:4" ht="15">
      <c r="A499" s="30" t="s">
        <v>516</v>
      </c>
      <c r="B499" s="28"/>
      <c r="C499" s="28"/>
      <c r="D499" s="28"/>
    </row>
    <row r="500" spans="1:4">
      <c r="A500" s="28"/>
      <c r="B500" s="28"/>
      <c r="C500" s="28"/>
      <c r="D500" s="28"/>
    </row>
    <row r="501" spans="1:4">
      <c r="A501" s="28" t="s">
        <v>517</v>
      </c>
      <c r="B501" s="28"/>
      <c r="C501" s="28"/>
      <c r="D501" s="28"/>
    </row>
    <row r="502" spans="1:4">
      <c r="A502" s="4"/>
      <c r="B502" s="28"/>
      <c r="C502" s="28"/>
      <c r="D502" s="28"/>
    </row>
    <row r="503" spans="1:4">
      <c r="A503" s="4" t="s">
        <v>518</v>
      </c>
      <c r="B503" s="28"/>
      <c r="C503" s="28"/>
      <c r="D503" s="28"/>
    </row>
    <row r="504" spans="1:4">
      <c r="A504" s="28"/>
      <c r="B504" s="28"/>
      <c r="C504" s="28"/>
      <c r="D504" s="28"/>
    </row>
    <row r="505" spans="1:4">
      <c r="A505" s="28"/>
      <c r="B505" s="28"/>
      <c r="C505" s="28"/>
      <c r="D505" s="28"/>
    </row>
    <row r="506" spans="1:4">
      <c r="A506" s="28"/>
      <c r="B506" s="28"/>
      <c r="C506" s="28"/>
      <c r="D506" s="28"/>
    </row>
    <row r="507" spans="1:4" ht="18">
      <c r="A507" s="31" t="s">
        <v>519</v>
      </c>
      <c r="B507" s="28"/>
      <c r="C507" s="28"/>
      <c r="D507" s="28"/>
    </row>
    <row r="508" spans="1:4">
      <c r="A508" s="28"/>
      <c r="B508" s="28"/>
      <c r="C508" s="28"/>
      <c r="D508" s="28"/>
    </row>
    <row r="509" spans="1:4" ht="15">
      <c r="A509" s="30" t="s">
        <v>520</v>
      </c>
      <c r="B509" s="28"/>
      <c r="C509" s="28"/>
      <c r="D509" s="28"/>
    </row>
    <row r="510" spans="1:4">
      <c r="A510" s="28"/>
      <c r="B510" s="28"/>
      <c r="C510" s="28"/>
      <c r="D510" s="28"/>
    </row>
    <row r="511" spans="1:4">
      <c r="A511" s="28" t="s">
        <v>521</v>
      </c>
      <c r="B511" s="28"/>
      <c r="C511" s="28"/>
      <c r="D511" s="28"/>
    </row>
    <row r="512" spans="1:4">
      <c r="A512" s="28"/>
      <c r="B512" s="28"/>
      <c r="C512" s="28"/>
      <c r="D512" s="28"/>
    </row>
    <row r="513" spans="1:4">
      <c r="A513" s="28"/>
      <c r="B513" s="28"/>
      <c r="C513" s="28"/>
      <c r="D513" s="28"/>
    </row>
    <row r="514" spans="1:4">
      <c r="A514" s="28"/>
      <c r="B514" s="28"/>
      <c r="C514" s="28"/>
      <c r="D514" s="28"/>
    </row>
    <row r="515" spans="1:4" ht="18">
      <c r="A515" s="31" t="s">
        <v>522</v>
      </c>
      <c r="B515" s="28"/>
      <c r="C515" s="28"/>
      <c r="D515" s="28"/>
    </row>
    <row r="516" spans="1:4">
      <c r="A516" s="28"/>
      <c r="B516" s="28"/>
      <c r="C516" s="28"/>
      <c r="D516" s="28"/>
    </row>
    <row r="517" spans="1:4" ht="15">
      <c r="A517" s="30" t="s">
        <v>523</v>
      </c>
      <c r="B517" s="28"/>
      <c r="C517" s="28"/>
      <c r="D517" s="28"/>
    </row>
    <row r="518" spans="1:4">
      <c r="A518" s="28"/>
      <c r="B518" s="28"/>
      <c r="C518" s="28"/>
      <c r="D518" s="28"/>
    </row>
    <row r="519" spans="1:4">
      <c r="A519" s="28" t="s">
        <v>524</v>
      </c>
      <c r="B519" s="28"/>
      <c r="C519" s="28"/>
      <c r="D519" s="28"/>
    </row>
    <row r="520" spans="1:4">
      <c r="A520" s="28"/>
      <c r="B520" s="28"/>
      <c r="C520" s="28"/>
      <c r="D520" s="28"/>
    </row>
    <row r="521" spans="1:4">
      <c r="A521" s="28" t="s">
        <v>438</v>
      </c>
      <c r="B521" s="28"/>
      <c r="C521" s="28"/>
      <c r="D521" s="28"/>
    </row>
    <row r="522" spans="1:4">
      <c r="A522" s="28"/>
      <c r="B522" s="28"/>
      <c r="C522" s="28"/>
      <c r="D522" s="28"/>
    </row>
    <row r="523" spans="1:4" ht="15">
      <c r="A523" s="30" t="s">
        <v>525</v>
      </c>
      <c r="B523" s="28"/>
      <c r="C523" s="28"/>
      <c r="D523" s="28"/>
    </row>
    <row r="524" spans="1:4">
      <c r="A524" s="28"/>
      <c r="B524" s="28"/>
      <c r="C524" s="28"/>
      <c r="D524" s="28"/>
    </row>
    <row r="525" spans="1:4">
      <c r="A525" s="28" t="s">
        <v>526</v>
      </c>
      <c r="B525" s="28"/>
      <c r="C525" s="28"/>
      <c r="D525" s="28"/>
    </row>
    <row r="526" spans="1:4">
      <c r="A526" s="28"/>
      <c r="B526" s="28"/>
      <c r="C526" s="28"/>
      <c r="D526" s="28"/>
    </row>
    <row r="527" spans="1:4">
      <c r="A527" s="28"/>
      <c r="B527" s="28"/>
      <c r="C527" s="28"/>
      <c r="D527" s="28"/>
    </row>
    <row r="528" spans="1:4">
      <c r="A528" s="28"/>
      <c r="B528" s="28"/>
      <c r="C528" s="28"/>
      <c r="D528" s="28"/>
    </row>
    <row r="529" spans="1:4" ht="18">
      <c r="A529" s="31" t="s">
        <v>527</v>
      </c>
      <c r="B529" s="28"/>
      <c r="C529" s="28"/>
      <c r="D529" s="28"/>
    </row>
    <row r="530" spans="1:4">
      <c r="A530" s="28"/>
      <c r="B530" s="28"/>
      <c r="C530" s="28"/>
      <c r="D530" s="28"/>
    </row>
    <row r="531" spans="1:4">
      <c r="A531" s="28" t="s">
        <v>528</v>
      </c>
      <c r="B531" s="28"/>
      <c r="C531" s="28"/>
      <c r="D531" s="28"/>
    </row>
    <row r="532" spans="1:4">
      <c r="A532" s="28"/>
      <c r="B532" s="28"/>
      <c r="C532" s="28"/>
      <c r="D532" s="28"/>
    </row>
    <row r="533" spans="1:4">
      <c r="A533" s="28" t="s">
        <v>438</v>
      </c>
      <c r="B533" s="28"/>
      <c r="C533" s="28"/>
      <c r="D533" s="28"/>
    </row>
    <row r="534" spans="1:4">
      <c r="A534" s="28"/>
      <c r="B534" s="28"/>
      <c r="C534" s="28"/>
      <c r="D534" s="28"/>
    </row>
    <row r="535" spans="1:4" ht="15">
      <c r="A535" s="30" t="s">
        <v>529</v>
      </c>
      <c r="B535" s="28"/>
      <c r="C535" s="28"/>
      <c r="D535" s="28"/>
    </row>
    <row r="536" spans="1:4">
      <c r="A536" s="28"/>
      <c r="B536" s="28"/>
      <c r="C536" s="28"/>
      <c r="D536" s="28"/>
    </row>
    <row r="537" spans="1:4">
      <c r="A537" s="28" t="s">
        <v>530</v>
      </c>
      <c r="B537" s="28"/>
      <c r="C537" s="28"/>
      <c r="D537" s="28"/>
    </row>
    <row r="538" spans="1:4">
      <c r="A538" s="28"/>
      <c r="B538" s="28"/>
      <c r="C538" s="28"/>
      <c r="D538" s="28"/>
    </row>
    <row r="539" spans="1:4">
      <c r="A539" s="28"/>
      <c r="B539" s="28"/>
      <c r="C539" s="28"/>
      <c r="D539" s="28"/>
    </row>
    <row r="540" spans="1:4">
      <c r="A540" s="28"/>
      <c r="B540" s="28"/>
      <c r="C540" s="28"/>
      <c r="D540" s="28"/>
    </row>
    <row r="541" spans="1:4" ht="31.2">
      <c r="A541" s="29" t="s">
        <v>531</v>
      </c>
      <c r="B541" s="28"/>
      <c r="C541" s="28"/>
      <c r="D541" s="28"/>
    </row>
    <row r="542" spans="1:4">
      <c r="A542" s="28"/>
      <c r="B542" s="28"/>
      <c r="C542" s="28"/>
      <c r="D542" s="28"/>
    </row>
    <row r="543" spans="1:4" ht="18">
      <c r="A543" s="31" t="s">
        <v>532</v>
      </c>
      <c r="B543" s="28"/>
      <c r="C543" s="28"/>
      <c r="D543" s="28"/>
    </row>
    <row r="544" spans="1:4">
      <c r="A544" s="28"/>
      <c r="B544" s="28"/>
      <c r="C544" s="28"/>
      <c r="D544" s="28"/>
    </row>
    <row r="545" spans="1:4" ht="15">
      <c r="A545" s="30" t="s">
        <v>360</v>
      </c>
      <c r="B545" s="28"/>
      <c r="C545" s="28"/>
      <c r="D545" s="28"/>
    </row>
    <row r="546" spans="1:4">
      <c r="A546" s="28"/>
      <c r="B546" s="28"/>
      <c r="C546" s="28"/>
      <c r="D546" s="28"/>
    </row>
    <row r="547" spans="1:4" ht="15">
      <c r="A547" s="30" t="s">
        <v>533</v>
      </c>
      <c r="B547" s="28"/>
      <c r="C547" s="28"/>
      <c r="D547" s="28"/>
    </row>
    <row r="548" spans="1:4">
      <c r="A548" s="28"/>
      <c r="B548" s="28"/>
      <c r="C548" s="28"/>
      <c r="D548" s="28"/>
    </row>
    <row r="549" spans="1:4" ht="15">
      <c r="A549" s="30" t="s">
        <v>534</v>
      </c>
      <c r="B549" s="28"/>
      <c r="C549" s="28"/>
      <c r="D549" s="28"/>
    </row>
    <row r="550" spans="1:4" ht="15">
      <c r="A550" s="30" t="s">
        <v>535</v>
      </c>
      <c r="B550" s="28"/>
      <c r="C550" s="28"/>
      <c r="D550" s="28"/>
    </row>
    <row r="551" spans="1:4" ht="15">
      <c r="A551" s="30" t="s">
        <v>536</v>
      </c>
      <c r="B551" s="28"/>
      <c r="C551" s="28"/>
      <c r="D551" s="28"/>
    </row>
    <row r="552" spans="1:4">
      <c r="A552" s="28"/>
      <c r="B552" s="28"/>
      <c r="C552" s="28"/>
      <c r="D552" s="28"/>
    </row>
    <row r="553" spans="1:4" ht="15">
      <c r="A553" s="30" t="s">
        <v>365</v>
      </c>
      <c r="B553" s="28"/>
      <c r="C553" s="28"/>
      <c r="D553" s="28"/>
    </row>
    <row r="554" spans="1:4">
      <c r="A554" s="28"/>
      <c r="B554" s="28"/>
      <c r="C554" s="28"/>
      <c r="D554" s="28"/>
    </row>
    <row r="555" spans="1:4">
      <c r="A555" s="28" t="s">
        <v>537</v>
      </c>
      <c r="B555" s="28"/>
      <c r="C555" s="28"/>
      <c r="D555" s="28"/>
    </row>
    <row r="556" spans="1:4">
      <c r="A556" s="28"/>
      <c r="B556" s="28"/>
      <c r="C556" s="28"/>
      <c r="D556" s="28"/>
    </row>
    <row r="557" spans="1:4">
      <c r="A557" s="28"/>
      <c r="B557" s="28"/>
      <c r="C557" s="28"/>
      <c r="D557" s="28"/>
    </row>
    <row r="558" spans="1:4">
      <c r="A558" s="28"/>
      <c r="B558" s="28"/>
      <c r="C558" s="28"/>
      <c r="D558" s="28"/>
    </row>
    <row r="559" spans="1:4" ht="31.2">
      <c r="A559" s="29" t="s">
        <v>538</v>
      </c>
      <c r="B559" s="28"/>
      <c r="C559" s="28"/>
      <c r="D559" s="28"/>
    </row>
    <row r="560" spans="1:4">
      <c r="A560" s="28"/>
      <c r="B560" s="28"/>
      <c r="C560" s="28"/>
      <c r="D560" s="28"/>
    </row>
    <row r="561" spans="1:4">
      <c r="A561" s="28" t="s">
        <v>539</v>
      </c>
      <c r="B561" s="28"/>
      <c r="C561" s="28"/>
      <c r="D561" s="28"/>
    </row>
    <row r="562" spans="1:4">
      <c r="A562" s="28"/>
      <c r="B562" s="28"/>
      <c r="C562" s="28"/>
      <c r="D562" s="28"/>
    </row>
    <row r="563" spans="1:4" ht="18">
      <c r="A563" s="31" t="s">
        <v>540</v>
      </c>
      <c r="B563" s="28"/>
      <c r="C563" s="28"/>
      <c r="D563" s="28"/>
    </row>
    <row r="564" spans="1:4">
      <c r="A564" s="28"/>
      <c r="B564" s="28"/>
      <c r="C564" s="28"/>
      <c r="D564" s="28"/>
    </row>
    <row r="565" spans="1:4" ht="15">
      <c r="A565" s="30" t="s">
        <v>541</v>
      </c>
      <c r="B565" s="28"/>
      <c r="C565" s="28"/>
      <c r="D565" s="28"/>
    </row>
    <row r="566" spans="1:4" ht="15">
      <c r="A566" s="30" t="s">
        <v>465</v>
      </c>
      <c r="B566" s="28"/>
      <c r="C566" s="28"/>
      <c r="D566" s="28"/>
    </row>
    <row r="567" spans="1:4" ht="15">
      <c r="A567" s="30" t="s">
        <v>466</v>
      </c>
      <c r="B567" s="28"/>
      <c r="C567" s="28"/>
      <c r="D567" s="28"/>
    </row>
    <row r="568" spans="1:4" ht="15">
      <c r="A568" s="30" t="s">
        <v>452</v>
      </c>
      <c r="B568" s="28"/>
      <c r="C568" s="28"/>
      <c r="D568" s="28"/>
    </row>
    <row r="569" spans="1:4" ht="15">
      <c r="A569" s="30" t="s">
        <v>542</v>
      </c>
      <c r="B569" s="28"/>
      <c r="C569" s="28"/>
      <c r="D569" s="28"/>
    </row>
    <row r="570" spans="1:4" ht="15">
      <c r="A570" s="30" t="s">
        <v>543</v>
      </c>
      <c r="B570" s="28"/>
      <c r="C570" s="28"/>
      <c r="D570" s="28"/>
    </row>
    <row r="571" spans="1:4" ht="15">
      <c r="A571" s="30" t="s">
        <v>544</v>
      </c>
      <c r="B571" s="28"/>
      <c r="C571" s="28"/>
      <c r="D571" s="28"/>
    </row>
    <row r="572" spans="1:4" ht="15">
      <c r="A572" s="30" t="s">
        <v>545</v>
      </c>
      <c r="B572" s="28"/>
      <c r="C572" s="28"/>
      <c r="D572" s="28"/>
    </row>
    <row r="573" spans="1:4" ht="15">
      <c r="A573" s="30" t="s">
        <v>546</v>
      </c>
      <c r="B573" s="28"/>
      <c r="C573" s="28"/>
      <c r="D573" s="28"/>
    </row>
    <row r="574" spans="1:4" ht="15">
      <c r="A574" s="30" t="s">
        <v>161</v>
      </c>
      <c r="B574" s="28"/>
      <c r="C574" s="28"/>
      <c r="D574" s="28"/>
    </row>
    <row r="575" spans="1:4" ht="15">
      <c r="A575" s="30" t="s">
        <v>319</v>
      </c>
      <c r="B575" s="28"/>
      <c r="C575" s="28"/>
      <c r="D575" s="28"/>
    </row>
    <row r="576" spans="1:4" ht="15">
      <c r="A576" s="30" t="s">
        <v>294</v>
      </c>
      <c r="B576" s="28"/>
      <c r="C576" s="28"/>
      <c r="D576" s="28"/>
    </row>
    <row r="577" spans="1:4">
      <c r="A577" s="28"/>
      <c r="B577" s="28"/>
      <c r="C577" s="28"/>
      <c r="D577" s="28"/>
    </row>
    <row r="578" spans="1:4">
      <c r="A578" s="28"/>
      <c r="B578" s="28"/>
      <c r="C578" s="28"/>
      <c r="D578" s="28"/>
    </row>
    <row r="579" spans="1:4">
      <c r="A579" s="28"/>
      <c r="B579" s="28"/>
      <c r="C579" s="28"/>
      <c r="D579" s="28"/>
    </row>
    <row r="580" spans="1:4" ht="31.2">
      <c r="A580" s="29" t="s">
        <v>547</v>
      </c>
      <c r="B580" s="28"/>
      <c r="C580" s="28"/>
      <c r="D580" s="28"/>
    </row>
    <row r="581" spans="1:4">
      <c r="A581" s="28"/>
      <c r="B581" s="28"/>
      <c r="C581" s="28"/>
      <c r="D581" s="28"/>
    </row>
    <row r="582" spans="1:4" ht="18">
      <c r="A582" s="31" t="s">
        <v>548</v>
      </c>
      <c r="B582" s="28"/>
      <c r="C582" s="28"/>
      <c r="D582" s="28"/>
    </row>
    <row r="583" spans="1:4">
      <c r="A583" s="28"/>
      <c r="B583" s="28"/>
      <c r="C583" s="28"/>
      <c r="D583" s="28"/>
    </row>
    <row r="584" spans="1:4" ht="15">
      <c r="A584" s="30" t="s">
        <v>549</v>
      </c>
      <c r="B584" s="28"/>
      <c r="C584" s="28"/>
      <c r="D584" s="28"/>
    </row>
    <row r="585" spans="1:4">
      <c r="A585" s="28"/>
      <c r="B585" s="28"/>
      <c r="C585" s="28"/>
      <c r="D585" s="28"/>
    </row>
    <row r="586" spans="1:4">
      <c r="A586" s="28"/>
      <c r="B586" s="28"/>
      <c r="C586" s="28"/>
      <c r="D586" s="28"/>
    </row>
    <row r="587" spans="1:4">
      <c r="A587" s="28"/>
      <c r="B587" s="28"/>
      <c r="C587" s="28"/>
      <c r="D587" s="28"/>
    </row>
    <row r="588" spans="1:4" ht="31.2">
      <c r="A588" s="29" t="s">
        <v>550</v>
      </c>
      <c r="B588" s="28"/>
      <c r="C588" s="28"/>
      <c r="D588" s="28"/>
    </row>
    <row r="589" spans="1:4">
      <c r="A589" s="28"/>
      <c r="B589" s="28"/>
      <c r="C589" s="28"/>
      <c r="D589" s="28"/>
    </row>
    <row r="590" spans="1:4" ht="18">
      <c r="A590" s="31" t="s">
        <v>551</v>
      </c>
      <c r="B590" s="28"/>
      <c r="C590" s="28"/>
      <c r="D590" s="28"/>
    </row>
    <row r="591" spans="1:4">
      <c r="A591" s="28"/>
      <c r="B591" s="28"/>
      <c r="C591" s="28"/>
      <c r="D591" s="28"/>
    </row>
    <row r="592" spans="1:4" ht="15">
      <c r="A592" s="30" t="s">
        <v>552</v>
      </c>
      <c r="B592" s="28"/>
      <c r="C592" s="28"/>
      <c r="D592" s="28"/>
    </row>
    <row r="593" spans="1:4">
      <c r="A593" s="28"/>
      <c r="B593" s="28"/>
      <c r="C593" s="28"/>
      <c r="D593" s="28"/>
    </row>
    <row r="594" spans="1:4" ht="15">
      <c r="A594" s="30" t="s">
        <v>553</v>
      </c>
      <c r="B594" s="28"/>
      <c r="C594" s="28"/>
      <c r="D594" s="28"/>
    </row>
    <row r="595" spans="1:4">
      <c r="A595" s="28"/>
      <c r="B595" s="28"/>
      <c r="C595" s="28"/>
      <c r="D595" s="28"/>
    </row>
    <row r="596" spans="1:4">
      <c r="A596" s="28"/>
      <c r="B596" s="28"/>
      <c r="C596" s="28"/>
      <c r="D596" s="28"/>
    </row>
    <row r="597" spans="1:4">
      <c r="A597" s="28"/>
      <c r="B597" s="28"/>
      <c r="C597" s="28"/>
      <c r="D597" s="28"/>
    </row>
    <row r="598" spans="1:4" ht="31.2">
      <c r="A598" s="29" t="s">
        <v>554</v>
      </c>
      <c r="B598" s="28"/>
      <c r="C598" s="28"/>
      <c r="D598" s="28"/>
    </row>
    <row r="599" spans="1:4">
      <c r="A599" s="28"/>
      <c r="B599" s="28"/>
      <c r="C599" s="28"/>
      <c r="D599" s="28"/>
    </row>
    <row r="600" spans="1:4" ht="18">
      <c r="A600" s="31" t="s">
        <v>555</v>
      </c>
      <c r="B600" s="28"/>
      <c r="C600" s="28"/>
      <c r="D600" s="28"/>
    </row>
    <row r="601" spans="1:4">
      <c r="A601" s="28"/>
      <c r="B601" s="28"/>
      <c r="C601" s="28"/>
      <c r="D601" s="28"/>
    </row>
    <row r="602" spans="1:4" ht="15">
      <c r="A602" s="30" t="s">
        <v>556</v>
      </c>
      <c r="B602" s="28"/>
      <c r="C602" s="28"/>
      <c r="D602" s="28"/>
    </row>
    <row r="603" spans="1:4">
      <c r="A603" s="28"/>
      <c r="B603" s="28"/>
      <c r="C603" s="28"/>
      <c r="D603" s="28"/>
    </row>
    <row r="604" spans="1:4" ht="15">
      <c r="A604" s="30" t="s">
        <v>557</v>
      </c>
      <c r="B604" s="28"/>
      <c r="C604" s="28"/>
      <c r="D604" s="28"/>
    </row>
    <row r="605" spans="1:4">
      <c r="A605" s="28"/>
      <c r="B605" s="28"/>
      <c r="C605" s="28"/>
      <c r="D605" s="28"/>
    </row>
    <row r="606" spans="1:4" ht="15">
      <c r="A606" s="30" t="s">
        <v>558</v>
      </c>
      <c r="B606" s="28"/>
      <c r="C606" s="28"/>
      <c r="D606" s="28"/>
    </row>
    <row r="607" spans="1:4">
      <c r="A607" s="28"/>
      <c r="B607" s="28"/>
      <c r="C607" s="28"/>
      <c r="D607" s="28"/>
    </row>
    <row r="608" spans="1:4" ht="15">
      <c r="A608" s="30" t="s">
        <v>559</v>
      </c>
      <c r="B608" s="28"/>
      <c r="C608" s="28"/>
      <c r="D608" s="28"/>
    </row>
    <row r="609" spans="1:4">
      <c r="A609" s="28"/>
      <c r="B609" s="28"/>
      <c r="C609" s="28"/>
      <c r="D609" s="28"/>
    </row>
    <row r="610" spans="1:4" ht="15">
      <c r="A610" s="30" t="s">
        <v>560</v>
      </c>
      <c r="B610" s="28"/>
      <c r="C610" s="28"/>
      <c r="D610" s="28"/>
    </row>
    <row r="611" spans="1:4" ht="15">
      <c r="A611" s="30" t="s">
        <v>561</v>
      </c>
      <c r="B611" s="28"/>
      <c r="C611" s="28"/>
      <c r="D611" s="28"/>
    </row>
    <row r="612" spans="1:4" ht="15">
      <c r="A612" s="30" t="s">
        <v>562</v>
      </c>
      <c r="B612" s="28"/>
      <c r="C612" s="28"/>
      <c r="D612" s="28"/>
    </row>
    <row r="613" spans="1:4" ht="15">
      <c r="A613" s="30" t="s">
        <v>563</v>
      </c>
      <c r="B613" s="28"/>
      <c r="C613" s="28"/>
      <c r="D613" s="28"/>
    </row>
    <row r="614" spans="1:4" ht="15">
      <c r="A614" s="30" t="s">
        <v>564</v>
      </c>
      <c r="B614" s="28"/>
      <c r="C614" s="28"/>
      <c r="D614" s="28"/>
    </row>
    <row r="615" spans="1:4" ht="15">
      <c r="A615" s="30" t="s">
        <v>565</v>
      </c>
      <c r="B615" s="28"/>
      <c r="C615" s="28"/>
      <c r="D615" s="28"/>
    </row>
    <row r="616" spans="1:4">
      <c r="A616" s="28"/>
      <c r="B616" s="28"/>
      <c r="C616" s="28"/>
      <c r="D616" s="28"/>
    </row>
    <row r="617" spans="1:4">
      <c r="A617" s="28"/>
      <c r="B617" s="28"/>
      <c r="C617" s="28"/>
      <c r="D617" s="28"/>
    </row>
    <row r="618" spans="1:4">
      <c r="A618" s="28"/>
      <c r="B618" s="28"/>
      <c r="C618" s="28"/>
      <c r="D618" s="28"/>
    </row>
    <row r="619" spans="1:4" ht="31.2">
      <c r="A619" s="29" t="s">
        <v>566</v>
      </c>
      <c r="B619" s="28"/>
      <c r="C619" s="28"/>
      <c r="D619" s="28"/>
    </row>
    <row r="620" spans="1:4">
      <c r="A620" s="28"/>
      <c r="B620" s="28"/>
      <c r="C620" s="28"/>
      <c r="D620" s="28"/>
    </row>
    <row r="621" spans="1:4" ht="18">
      <c r="A621" s="31" t="s">
        <v>567</v>
      </c>
      <c r="B621" s="28"/>
      <c r="C621" s="28"/>
      <c r="D621" s="28"/>
    </row>
    <row r="622" spans="1:4">
      <c r="A622" s="28"/>
      <c r="B622" s="28"/>
      <c r="C622" s="28"/>
      <c r="D622" s="28"/>
    </row>
    <row r="623" spans="1:4" ht="15">
      <c r="A623" s="30" t="s">
        <v>568</v>
      </c>
      <c r="B623" s="28"/>
      <c r="C623" s="28"/>
      <c r="D623" s="28"/>
    </row>
    <row r="624" spans="1:4" ht="15">
      <c r="A624" s="30" t="s">
        <v>569</v>
      </c>
      <c r="B624" s="28"/>
      <c r="C624" s="28"/>
      <c r="D624" s="28"/>
    </row>
    <row r="625" spans="1:4" ht="15">
      <c r="A625" s="30" t="s">
        <v>570</v>
      </c>
      <c r="B625" s="28"/>
      <c r="C625" s="28"/>
      <c r="D625" s="28"/>
    </row>
    <row r="626" spans="1:4" ht="15">
      <c r="A626" s="30" t="s">
        <v>571</v>
      </c>
      <c r="B626" s="28"/>
      <c r="C626" s="28"/>
      <c r="D626" s="28"/>
    </row>
    <row r="627" spans="1:4" ht="15">
      <c r="A627" s="30" t="s">
        <v>308</v>
      </c>
      <c r="B627" s="28"/>
      <c r="C627" s="28"/>
      <c r="D627" s="28"/>
    </row>
    <row r="628" spans="1:4">
      <c r="A628" s="28"/>
      <c r="B628" s="28"/>
      <c r="C628" s="28"/>
      <c r="D628" s="28"/>
    </row>
    <row r="629" spans="1:4" ht="15">
      <c r="A629" s="30" t="s">
        <v>572</v>
      </c>
      <c r="B629" s="28"/>
      <c r="C629" s="28"/>
      <c r="D629" s="28"/>
    </row>
    <row r="630" spans="1:4" ht="15">
      <c r="A630" s="30" t="s">
        <v>573</v>
      </c>
      <c r="B630" s="28"/>
      <c r="C630" s="28"/>
      <c r="D630" s="28"/>
    </row>
    <row r="631" spans="1:4" ht="15">
      <c r="A631" s="30" t="s">
        <v>574</v>
      </c>
      <c r="B631" s="28"/>
      <c r="C631" s="28"/>
      <c r="D631" s="28"/>
    </row>
    <row r="632" spans="1:4" ht="15">
      <c r="A632" s="30" t="s">
        <v>308</v>
      </c>
      <c r="B632" s="28"/>
      <c r="C632" s="28"/>
      <c r="D632" s="28"/>
    </row>
    <row r="633" spans="1:4">
      <c r="A633" s="28"/>
      <c r="B633" s="28"/>
      <c r="C633" s="28"/>
      <c r="D633" s="28"/>
    </row>
    <row r="634" spans="1:4" ht="15">
      <c r="A634" s="30" t="s">
        <v>575</v>
      </c>
      <c r="B634" s="28"/>
      <c r="C634" s="28"/>
      <c r="D634" s="28"/>
    </row>
    <row r="635" spans="1:4" ht="15">
      <c r="A635" s="30" t="s">
        <v>576</v>
      </c>
      <c r="B635" s="28"/>
      <c r="C635" s="28"/>
      <c r="D635" s="28"/>
    </row>
    <row r="636" spans="1:4" ht="15">
      <c r="A636" s="30" t="s">
        <v>577</v>
      </c>
      <c r="B636" s="28"/>
      <c r="C636" s="28"/>
      <c r="D636" s="28"/>
    </row>
    <row r="637" spans="1:4" ht="15">
      <c r="A637" s="30" t="s">
        <v>308</v>
      </c>
      <c r="B637" s="28"/>
      <c r="C637" s="28"/>
      <c r="D637" s="28"/>
    </row>
    <row r="638" spans="1:4">
      <c r="A638" s="28"/>
      <c r="B638" s="28"/>
      <c r="C638" s="28"/>
      <c r="D638" s="28"/>
    </row>
    <row r="639" spans="1:4" ht="15">
      <c r="A639" s="30" t="s">
        <v>578</v>
      </c>
      <c r="B639" s="28"/>
      <c r="C639" s="28"/>
      <c r="D639" s="28"/>
    </row>
    <row r="640" spans="1:4" ht="15">
      <c r="A640" s="30" t="s">
        <v>579</v>
      </c>
      <c r="B640" s="28"/>
      <c r="C640" s="28"/>
      <c r="D640" s="28"/>
    </row>
    <row r="641" spans="1:4" ht="15">
      <c r="A641" s="30" t="s">
        <v>580</v>
      </c>
      <c r="B641" s="28"/>
      <c r="C641" s="28"/>
      <c r="D641" s="28"/>
    </row>
    <row r="642" spans="1:4" ht="15">
      <c r="A642" s="30" t="s">
        <v>319</v>
      </c>
      <c r="B642" s="28"/>
      <c r="C642" s="28"/>
      <c r="D642" s="28"/>
    </row>
    <row r="643" spans="1:4" ht="15">
      <c r="A643" s="30" t="s">
        <v>491</v>
      </c>
      <c r="B643" s="28"/>
      <c r="C643" s="28"/>
      <c r="D643" s="28"/>
    </row>
    <row r="644" spans="1:4">
      <c r="A644" s="28"/>
      <c r="B644" s="28"/>
      <c r="C644" s="28"/>
      <c r="D644" s="28"/>
    </row>
    <row r="645" spans="1:4" ht="15">
      <c r="A645" s="30" t="s">
        <v>581</v>
      </c>
      <c r="B645" s="28"/>
      <c r="C645" s="28"/>
      <c r="D645" s="28"/>
    </row>
    <row r="646" spans="1:4">
      <c r="A646" s="28"/>
      <c r="B646" s="28"/>
      <c r="C646" s="28"/>
      <c r="D646" s="28"/>
    </row>
    <row r="647" spans="1:4">
      <c r="A647" s="28" t="s">
        <v>582</v>
      </c>
      <c r="B647" s="28"/>
      <c r="C647" s="28"/>
      <c r="D647" s="28"/>
    </row>
    <row r="648" spans="1:4">
      <c r="A648" s="28"/>
      <c r="B648" s="28"/>
      <c r="C648" s="28"/>
      <c r="D648" s="28"/>
    </row>
    <row r="649" spans="1:4">
      <c r="A649" s="23" t="s">
        <v>583</v>
      </c>
      <c r="B649" s="23" t="s">
        <v>513</v>
      </c>
      <c r="C649" s="23" t="s">
        <v>522</v>
      </c>
      <c r="D649" s="23" t="s">
        <v>527</v>
      </c>
    </row>
    <row r="650" spans="1:4" ht="43.2">
      <c r="A650" s="24" t="s">
        <v>471</v>
      </c>
      <c r="B650" s="24" t="s">
        <v>326</v>
      </c>
      <c r="C650" s="24" t="s">
        <v>326</v>
      </c>
      <c r="D650" s="24" t="s">
        <v>326</v>
      </c>
    </row>
    <row r="651" spans="1:4" ht="28.8">
      <c r="A651" s="24" t="s">
        <v>584</v>
      </c>
      <c r="B651" s="24" t="s">
        <v>326</v>
      </c>
      <c r="C651" s="24" t="s">
        <v>326</v>
      </c>
      <c r="D651" s="24" t="s">
        <v>326</v>
      </c>
    </row>
    <row r="652" spans="1:4">
      <c r="A652" s="28"/>
      <c r="B652" s="28"/>
      <c r="C652" s="28"/>
      <c r="D652" s="28"/>
    </row>
    <row r="653" spans="1:4">
      <c r="A653" s="28" t="s">
        <v>585</v>
      </c>
      <c r="B653" s="28"/>
      <c r="C653" s="28"/>
      <c r="D653" s="28"/>
    </row>
    <row r="654" spans="1:4">
      <c r="A654" s="28"/>
      <c r="B654" s="28"/>
      <c r="C654" s="28"/>
      <c r="D654" s="28"/>
    </row>
    <row r="655" spans="1:4">
      <c r="A655" s="28"/>
      <c r="B655" s="28"/>
      <c r="C655" s="28"/>
      <c r="D655" s="28"/>
    </row>
    <row r="656" spans="1:4">
      <c r="A656" s="28"/>
      <c r="B656" s="28"/>
      <c r="C656" s="28"/>
      <c r="D656" s="28"/>
    </row>
    <row r="657" spans="1:4" ht="31.2">
      <c r="A657" s="29" t="s">
        <v>586</v>
      </c>
      <c r="B657" s="28"/>
      <c r="C657" s="28"/>
      <c r="D657" s="28"/>
    </row>
    <row r="658" spans="1:4">
      <c r="A658" s="28"/>
      <c r="B658" s="28"/>
      <c r="C658" s="28"/>
      <c r="D658" s="28"/>
    </row>
    <row r="659" spans="1:4">
      <c r="A659" s="28" t="s">
        <v>587</v>
      </c>
      <c r="B659" s="28"/>
      <c r="C659" s="28"/>
      <c r="D659" s="28"/>
    </row>
    <row r="660" spans="1:4">
      <c r="A660" s="28"/>
      <c r="B660" s="28"/>
      <c r="C660" s="28"/>
      <c r="D660" s="28"/>
    </row>
    <row r="661" spans="1:4">
      <c r="A661" s="28" t="s">
        <v>588</v>
      </c>
      <c r="B661" s="28"/>
      <c r="C661" s="28"/>
      <c r="D661" s="28"/>
    </row>
    <row r="662" spans="1:4">
      <c r="A662" s="28"/>
      <c r="B662" s="28"/>
      <c r="C662" s="28"/>
      <c r="D662" s="28"/>
    </row>
    <row r="663" spans="1:4" ht="15">
      <c r="A663" s="30" t="s">
        <v>589</v>
      </c>
      <c r="B663" s="28"/>
      <c r="C663" s="28"/>
      <c r="D663" s="28"/>
    </row>
    <row r="664" spans="1:4" ht="15">
      <c r="A664" s="30" t="s">
        <v>590</v>
      </c>
      <c r="B664" s="28"/>
      <c r="C664" s="28"/>
      <c r="D664" s="28"/>
    </row>
    <row r="665" spans="1:4" ht="15">
      <c r="A665" s="30" t="s">
        <v>591</v>
      </c>
      <c r="B665" s="28"/>
      <c r="C665" s="28"/>
      <c r="D665" s="28"/>
    </row>
    <row r="666" spans="1:4" ht="15">
      <c r="A666" s="30" t="s">
        <v>592</v>
      </c>
      <c r="B666" s="28"/>
      <c r="C666" s="28"/>
      <c r="D666" s="28"/>
    </row>
    <row r="667" spans="1:4">
      <c r="A667" s="28"/>
      <c r="B667" s="28"/>
      <c r="C667" s="28"/>
      <c r="D667" s="28"/>
    </row>
    <row r="668" spans="1:4">
      <c r="A668" s="28" t="s">
        <v>593</v>
      </c>
      <c r="B668" s="28"/>
      <c r="C668" s="28"/>
      <c r="D668" s="28"/>
    </row>
    <row r="669" spans="1:4">
      <c r="A669" s="28"/>
      <c r="B669" s="28"/>
      <c r="C669" s="28"/>
      <c r="D669" s="28"/>
    </row>
    <row r="670" spans="1:4" ht="18">
      <c r="A670" s="31" t="s">
        <v>594</v>
      </c>
      <c r="B670" s="28"/>
      <c r="C670" s="28"/>
      <c r="D670" s="28"/>
    </row>
    <row r="671" spans="1:4">
      <c r="A671" s="28"/>
      <c r="B671" s="28"/>
      <c r="C671" s="28"/>
      <c r="D671" s="28"/>
    </row>
    <row r="672" spans="1:4" ht="15">
      <c r="A672" s="30" t="s">
        <v>595</v>
      </c>
      <c r="B672" s="28"/>
      <c r="C672" s="28"/>
      <c r="D672" s="28"/>
    </row>
    <row r="673" spans="1:4" ht="15">
      <c r="A673" s="30" t="s">
        <v>596</v>
      </c>
      <c r="B673" s="28"/>
      <c r="C673" s="28"/>
      <c r="D673" s="28"/>
    </row>
    <row r="674" spans="1:4" ht="15">
      <c r="A674" s="30" t="s">
        <v>597</v>
      </c>
      <c r="B674" s="28"/>
      <c r="C674" s="28"/>
      <c r="D674" s="28"/>
    </row>
    <row r="675" spans="1:4" ht="15">
      <c r="A675" s="30" t="s">
        <v>598</v>
      </c>
      <c r="B675" s="28"/>
      <c r="C675" s="28"/>
      <c r="D675" s="28"/>
    </row>
    <row r="676" spans="1:4" ht="15">
      <c r="A676" s="30" t="s">
        <v>599</v>
      </c>
      <c r="B676" s="28"/>
      <c r="C676" s="28"/>
      <c r="D676" s="28"/>
    </row>
    <row r="677" spans="1:4" ht="15">
      <c r="A677" s="30" t="s">
        <v>491</v>
      </c>
      <c r="B677" s="28"/>
      <c r="C677" s="28"/>
      <c r="D677" s="28"/>
    </row>
    <row r="678" spans="1:4">
      <c r="A678" s="28"/>
      <c r="B678" s="28"/>
      <c r="C678" s="28"/>
      <c r="D678" s="28"/>
    </row>
    <row r="679" spans="1:4" ht="15">
      <c r="A679" s="30" t="s">
        <v>600</v>
      </c>
      <c r="B679" s="28"/>
      <c r="C679" s="28"/>
      <c r="D679" s="28"/>
    </row>
    <row r="680" spans="1:4">
      <c r="A680" s="28"/>
      <c r="B680" s="28"/>
      <c r="C680" s="28"/>
      <c r="D680" s="28"/>
    </row>
    <row r="681" spans="1:4">
      <c r="A681" s="28"/>
      <c r="B681" s="28"/>
      <c r="C681" s="28"/>
      <c r="D681" s="28"/>
    </row>
    <row r="682" spans="1:4">
      <c r="A682" s="28"/>
      <c r="B682" s="28"/>
      <c r="C682" s="28"/>
      <c r="D682" s="28"/>
    </row>
    <row r="683" spans="1:4" ht="31.2">
      <c r="A683" s="29" t="s">
        <v>601</v>
      </c>
      <c r="B683" s="28"/>
      <c r="C683" s="28"/>
      <c r="D683" s="28"/>
    </row>
    <row r="684" spans="1:4">
      <c r="A684" s="28"/>
      <c r="B684" s="28"/>
      <c r="C684" s="28"/>
      <c r="D684" s="28"/>
    </row>
    <row r="685" spans="1:4">
      <c r="A685" s="28" t="s">
        <v>602</v>
      </c>
      <c r="B685" s="28"/>
      <c r="C685" s="28"/>
      <c r="D685" s="28"/>
    </row>
    <row r="686" spans="1:4">
      <c r="A686" s="28"/>
      <c r="B686" s="28"/>
      <c r="C686" s="28"/>
      <c r="D686" s="28"/>
    </row>
    <row r="687" spans="1:4" ht="18">
      <c r="A687" s="31" t="s">
        <v>603</v>
      </c>
      <c r="B687" s="28"/>
      <c r="C687" s="28"/>
      <c r="D687" s="28"/>
    </row>
    <row r="688" spans="1:4">
      <c r="A688" s="28"/>
      <c r="B688" s="28"/>
      <c r="C688" s="28"/>
      <c r="D688" s="28"/>
    </row>
    <row r="689" spans="1:4" ht="15">
      <c r="A689" s="30" t="s">
        <v>604</v>
      </c>
      <c r="B689" s="28"/>
      <c r="C689" s="28"/>
      <c r="D689" s="28"/>
    </row>
    <row r="690" spans="1:4">
      <c r="A690" s="28"/>
      <c r="B690" s="28"/>
      <c r="C690" s="28"/>
      <c r="D690" s="28"/>
    </row>
    <row r="691" spans="1:4" ht="15">
      <c r="A691" s="30" t="s">
        <v>605</v>
      </c>
      <c r="B691" s="28"/>
      <c r="C691" s="28"/>
      <c r="D691" s="28"/>
    </row>
    <row r="692" spans="1:4">
      <c r="A692" s="28"/>
      <c r="B692" s="28"/>
      <c r="C692" s="28"/>
      <c r="D692" s="28"/>
    </row>
    <row r="693" spans="1:4">
      <c r="A693" s="28" t="s">
        <v>438</v>
      </c>
      <c r="B693" s="28"/>
      <c r="C693" s="28"/>
      <c r="D693" s="28"/>
    </row>
    <row r="694" spans="1:4">
      <c r="A694" s="28"/>
      <c r="B694" s="28"/>
      <c r="C694" s="28"/>
      <c r="D694" s="28"/>
    </row>
    <row r="695" spans="1:4" ht="15">
      <c r="A695" s="30" t="s">
        <v>606</v>
      </c>
      <c r="B695" s="28"/>
      <c r="C695" s="28"/>
      <c r="D695" s="28"/>
    </row>
    <row r="696" spans="1:4">
      <c r="A696" s="28"/>
      <c r="B696" s="28"/>
      <c r="C696" s="28"/>
      <c r="D696" s="28"/>
    </row>
    <row r="697" spans="1:4">
      <c r="A697" s="28" t="s">
        <v>607</v>
      </c>
      <c r="B697" s="28"/>
      <c r="C697" s="28"/>
      <c r="D697" s="28"/>
    </row>
    <row r="698" spans="1:4">
      <c r="A698" s="28"/>
      <c r="B698" s="28"/>
      <c r="C698" s="28"/>
      <c r="D698" s="28"/>
    </row>
    <row r="699" spans="1:4">
      <c r="A699" s="28"/>
      <c r="B699" s="28"/>
      <c r="C699" s="28"/>
      <c r="D699" s="28"/>
    </row>
    <row r="700" spans="1:4">
      <c r="A700" s="28"/>
      <c r="B700" s="28"/>
      <c r="C700" s="28"/>
      <c r="D700" s="28"/>
    </row>
    <row r="701" spans="1:4" ht="31.2">
      <c r="A701" s="29" t="s">
        <v>608</v>
      </c>
      <c r="B701" s="28"/>
      <c r="C701" s="28"/>
      <c r="D701" s="28"/>
    </row>
    <row r="702" spans="1:4">
      <c r="A702" s="28"/>
      <c r="B702" s="28"/>
      <c r="C702" s="28"/>
      <c r="D702" s="28"/>
    </row>
    <row r="703" spans="1:4" ht="15">
      <c r="A703" s="30" t="s">
        <v>609</v>
      </c>
      <c r="B703" s="28"/>
      <c r="C703" s="28"/>
      <c r="D703" s="28"/>
    </row>
    <row r="704" spans="1:4">
      <c r="A704" s="28"/>
      <c r="B704" s="28"/>
      <c r="C704" s="28"/>
      <c r="D704" s="28"/>
    </row>
    <row r="705" spans="1:4" ht="15">
      <c r="A705" s="30" t="s">
        <v>610</v>
      </c>
      <c r="B705" s="28"/>
      <c r="C705" s="28"/>
      <c r="D705" s="28"/>
    </row>
    <row r="706" spans="1:4">
      <c r="A706" s="28"/>
      <c r="B706" s="28"/>
      <c r="C706" s="28"/>
      <c r="D706" s="28"/>
    </row>
    <row r="707" spans="1:4">
      <c r="A707" s="28" t="s">
        <v>611</v>
      </c>
      <c r="B707" s="28"/>
      <c r="C707" s="28"/>
      <c r="D707" s="28"/>
    </row>
    <row r="708" spans="1:4">
      <c r="A708" s="28"/>
      <c r="B708" s="28"/>
      <c r="C708" s="28"/>
      <c r="D708" s="28"/>
    </row>
    <row r="709" spans="1:4" ht="15">
      <c r="A709" s="30" t="s">
        <v>612</v>
      </c>
      <c r="B709" s="28"/>
      <c r="C709" s="28"/>
      <c r="D709" s="28"/>
    </row>
    <row r="710" spans="1:4" ht="15">
      <c r="A710" s="30" t="s">
        <v>613</v>
      </c>
      <c r="B710" s="28"/>
      <c r="C710" s="28"/>
      <c r="D710" s="28"/>
    </row>
    <row r="711" spans="1:4">
      <c r="A711" s="28"/>
      <c r="B711" s="28"/>
      <c r="C711" s="28"/>
      <c r="D711" s="28"/>
    </row>
    <row r="712" spans="1:4">
      <c r="A712" s="28"/>
      <c r="B712" s="28"/>
      <c r="C712" s="28"/>
      <c r="D712" s="28"/>
    </row>
    <row r="713" spans="1:4">
      <c r="A713" s="28"/>
      <c r="B713" s="28"/>
      <c r="C713" s="28"/>
      <c r="D713" s="28"/>
    </row>
    <row r="714" spans="1:4" ht="31.2">
      <c r="A714" s="29" t="s">
        <v>614</v>
      </c>
      <c r="B714" s="28"/>
      <c r="C714" s="28"/>
      <c r="D714" s="28"/>
    </row>
    <row r="715" spans="1:4">
      <c r="A715" s="28"/>
      <c r="B715" s="28"/>
      <c r="C715" s="28"/>
      <c r="D715" s="28"/>
    </row>
    <row r="716" spans="1:4">
      <c r="A716" s="28" t="s">
        <v>615</v>
      </c>
      <c r="B716" s="28"/>
      <c r="C716" s="28"/>
      <c r="D716" s="28"/>
    </row>
    <row r="717" spans="1:4">
      <c r="A717" s="28"/>
      <c r="B717" s="28"/>
      <c r="C717" s="28"/>
      <c r="D717" s="28"/>
    </row>
    <row r="718" spans="1:4" ht="18">
      <c r="A718" s="31" t="s">
        <v>616</v>
      </c>
      <c r="B718" s="28"/>
      <c r="C718" s="28"/>
      <c r="D718" s="28"/>
    </row>
    <row r="719" spans="1:4">
      <c r="A719" s="28"/>
      <c r="B719" s="28"/>
      <c r="C719" s="28"/>
      <c r="D719" s="28"/>
    </row>
    <row r="720" spans="1:4" ht="15">
      <c r="A720" s="30" t="s">
        <v>617</v>
      </c>
      <c r="B720" s="28"/>
      <c r="C720" s="28"/>
      <c r="D720" s="28"/>
    </row>
    <row r="721" spans="1:4">
      <c r="A721" s="28"/>
      <c r="B721" s="28"/>
      <c r="C721" s="28"/>
      <c r="D721" s="28"/>
    </row>
    <row r="722" spans="1:4">
      <c r="A722" s="28" t="s">
        <v>618</v>
      </c>
      <c r="B722" s="28"/>
      <c r="C722" s="28"/>
      <c r="D722" s="28"/>
    </row>
    <row r="723" spans="1:4">
      <c r="A723" s="28"/>
      <c r="B723" s="28"/>
      <c r="C723" s="28"/>
      <c r="D723" s="28"/>
    </row>
    <row r="724" spans="1:4" ht="15">
      <c r="A724" s="30" t="s">
        <v>619</v>
      </c>
      <c r="B724" s="28"/>
      <c r="C724" s="28"/>
      <c r="D724" s="28"/>
    </row>
    <row r="725" spans="1:4">
      <c r="A725" s="28"/>
      <c r="B725" s="28"/>
      <c r="C725" s="28"/>
      <c r="D725" s="28"/>
    </row>
    <row r="726" spans="1:4">
      <c r="A726" s="28"/>
      <c r="B726" s="28"/>
      <c r="C726" s="28"/>
      <c r="D726" s="28"/>
    </row>
    <row r="727" spans="1:4">
      <c r="A727" s="28"/>
      <c r="B727" s="28"/>
      <c r="C727" s="28"/>
      <c r="D727" s="28"/>
    </row>
    <row r="728" spans="1:4" ht="31.2">
      <c r="A728" s="29" t="s">
        <v>620</v>
      </c>
      <c r="B728" s="28"/>
      <c r="C728" s="28"/>
      <c r="D728" s="28"/>
    </row>
    <row r="729" spans="1:4">
      <c r="A729" s="28"/>
      <c r="B729" s="28"/>
      <c r="C729" s="28"/>
      <c r="D729" s="28"/>
    </row>
    <row r="730" spans="1:4">
      <c r="A730" s="28" t="s">
        <v>621</v>
      </c>
      <c r="B730" s="28"/>
      <c r="C730" s="28"/>
      <c r="D730" s="28"/>
    </row>
    <row r="731" spans="1:4">
      <c r="A731" s="28"/>
      <c r="B731" s="28"/>
      <c r="C731" s="28"/>
      <c r="D731" s="28"/>
    </row>
    <row r="732" spans="1:4">
      <c r="A732" s="28" t="s">
        <v>622</v>
      </c>
      <c r="B732" s="28"/>
      <c r="C732" s="28"/>
      <c r="D732" s="28"/>
    </row>
    <row r="733" spans="1:4">
      <c r="A733" s="28"/>
      <c r="B733" s="28"/>
      <c r="C733" s="28"/>
      <c r="D733" s="28"/>
    </row>
    <row r="734" spans="1:4" ht="18">
      <c r="A734" s="31" t="s">
        <v>623</v>
      </c>
      <c r="B734" s="28"/>
      <c r="C734" s="28"/>
      <c r="D734" s="28"/>
    </row>
    <row r="735" spans="1:4">
      <c r="A735" s="28"/>
      <c r="B735" s="28"/>
      <c r="C735" s="28"/>
      <c r="D735" s="28"/>
    </row>
    <row r="736" spans="1:4" ht="15">
      <c r="A736" s="30" t="s">
        <v>624</v>
      </c>
      <c r="B736" s="28"/>
      <c r="C736" s="28"/>
      <c r="D736" s="28"/>
    </row>
    <row r="737" spans="1:4">
      <c r="A737" s="28"/>
      <c r="B737" s="28"/>
      <c r="C737" s="28"/>
      <c r="D737" s="28"/>
    </row>
    <row r="738" spans="1:4">
      <c r="A738" s="28" t="s">
        <v>70</v>
      </c>
      <c r="B738" s="28"/>
      <c r="C738" s="28"/>
      <c r="D738" s="28"/>
    </row>
    <row r="739" spans="1:4">
      <c r="A739" s="28"/>
      <c r="B739" s="28"/>
      <c r="C739" s="28"/>
      <c r="D739" s="28"/>
    </row>
    <row r="740" spans="1:4" ht="15">
      <c r="A740" s="30" t="s">
        <v>625</v>
      </c>
      <c r="B740" s="28"/>
      <c r="C740" s="28"/>
      <c r="D740" s="28"/>
    </row>
    <row r="741" spans="1:4">
      <c r="A741" s="28"/>
      <c r="B741" s="28"/>
      <c r="C741" s="28"/>
      <c r="D741" s="28"/>
    </row>
    <row r="742" spans="1:4" ht="15">
      <c r="A742" s="30" t="s">
        <v>626</v>
      </c>
      <c r="B742" s="28"/>
      <c r="C742" s="28"/>
      <c r="D742" s="28"/>
    </row>
    <row r="743" spans="1:4">
      <c r="A743" s="28"/>
      <c r="B743" s="28"/>
      <c r="C743" s="28"/>
      <c r="D743" s="28"/>
    </row>
    <row r="744" spans="1:4">
      <c r="A744" s="28"/>
      <c r="B744" s="28"/>
      <c r="C744" s="28"/>
      <c r="D744" s="28"/>
    </row>
    <row r="745" spans="1:4">
      <c r="A745" s="28"/>
      <c r="B745" s="28"/>
      <c r="C745" s="28"/>
      <c r="D745" s="28"/>
    </row>
    <row r="746" spans="1:4" ht="31.2">
      <c r="A746" s="29" t="s">
        <v>627</v>
      </c>
      <c r="B746" s="28"/>
      <c r="C746" s="28"/>
      <c r="D746" s="28"/>
    </row>
    <row r="747" spans="1:4">
      <c r="A747" s="28"/>
      <c r="B747" s="28"/>
      <c r="C747" s="28"/>
      <c r="D747" s="28"/>
    </row>
    <row r="748" spans="1:4">
      <c r="A748" s="28" t="s">
        <v>628</v>
      </c>
      <c r="B748" s="28"/>
      <c r="C748" s="28"/>
      <c r="D748" s="28"/>
    </row>
    <row r="749" spans="1:4">
      <c r="A749" s="28"/>
      <c r="B749" s="28"/>
      <c r="C749" s="28"/>
      <c r="D749" s="28"/>
    </row>
    <row r="750" spans="1:4" ht="15">
      <c r="A750" s="30" t="s">
        <v>629</v>
      </c>
      <c r="B750" s="28"/>
      <c r="C750" s="28"/>
      <c r="D750" s="28"/>
    </row>
    <row r="751" spans="1:4" ht="15">
      <c r="A751" s="30" t="s">
        <v>630</v>
      </c>
      <c r="B751" s="28"/>
      <c r="C751" s="28"/>
      <c r="D751" s="28"/>
    </row>
    <row r="752" spans="1:4" ht="15">
      <c r="A752" s="30" t="s">
        <v>631</v>
      </c>
      <c r="B752" s="28"/>
      <c r="C752" s="28"/>
      <c r="D752" s="28"/>
    </row>
    <row r="753" spans="1:4" ht="15">
      <c r="A753" s="30" t="s">
        <v>632</v>
      </c>
      <c r="B753" s="28"/>
      <c r="C753" s="28"/>
      <c r="D753" s="28"/>
    </row>
    <row r="754" spans="1:4" ht="15">
      <c r="A754" s="30" t="s">
        <v>630</v>
      </c>
      <c r="B754" s="28"/>
      <c r="C754" s="28"/>
      <c r="D754" s="28"/>
    </row>
    <row r="755" spans="1:4" ht="15">
      <c r="A755" s="30" t="s">
        <v>631</v>
      </c>
      <c r="B755" s="28"/>
      <c r="C755" s="28"/>
      <c r="D755" s="28"/>
    </row>
    <row r="756" spans="1:4" ht="15">
      <c r="A756" s="30" t="s">
        <v>633</v>
      </c>
      <c r="B756" s="28"/>
      <c r="C756" s="28"/>
      <c r="D756" s="28"/>
    </row>
    <row r="757" spans="1:4" ht="15">
      <c r="A757" s="30" t="s">
        <v>630</v>
      </c>
      <c r="B757" s="28"/>
      <c r="C757" s="28"/>
      <c r="D757" s="28"/>
    </row>
    <row r="758" spans="1:4" ht="15">
      <c r="A758" s="30" t="s">
        <v>631</v>
      </c>
      <c r="B758" s="28"/>
      <c r="C758" s="28"/>
      <c r="D758" s="28"/>
    </row>
    <row r="759" spans="1:4" ht="15">
      <c r="A759" s="30" t="s">
        <v>634</v>
      </c>
      <c r="B759" s="28"/>
      <c r="C759" s="28"/>
      <c r="D759" s="28"/>
    </row>
    <row r="760" spans="1:4" ht="15">
      <c r="A760" s="30" t="s">
        <v>630</v>
      </c>
      <c r="B760" s="28"/>
      <c r="C760" s="28"/>
      <c r="D760" s="28"/>
    </row>
    <row r="761" spans="1:4" ht="15">
      <c r="A761" s="30" t="s">
        <v>631</v>
      </c>
      <c r="B761" s="28"/>
      <c r="C761" s="28"/>
      <c r="D761" s="28"/>
    </row>
    <row r="762" spans="1:4" ht="15">
      <c r="A762" s="30" t="s">
        <v>635</v>
      </c>
      <c r="B762" s="28"/>
      <c r="C762" s="28"/>
      <c r="D762" s="28"/>
    </row>
    <row r="763" spans="1:4" ht="15">
      <c r="A763" s="30" t="s">
        <v>630</v>
      </c>
      <c r="B763" s="28"/>
      <c r="C763" s="28"/>
      <c r="D763" s="28"/>
    </row>
    <row r="764" spans="1:4" ht="15">
      <c r="A764" s="30" t="s">
        <v>631</v>
      </c>
      <c r="B764" s="28"/>
      <c r="C764" s="28"/>
      <c r="D764" s="28"/>
    </row>
    <row r="765" spans="1:4" ht="15">
      <c r="A765" s="30" t="s">
        <v>636</v>
      </c>
      <c r="B765" s="28"/>
      <c r="C765" s="28"/>
      <c r="D765" s="28"/>
    </row>
    <row r="766" spans="1:4" ht="15">
      <c r="A766" s="30" t="s">
        <v>630</v>
      </c>
      <c r="B766" s="28"/>
      <c r="C766" s="28"/>
      <c r="D766" s="28"/>
    </row>
    <row r="767" spans="1:4" ht="15">
      <c r="A767" s="30" t="s">
        <v>631</v>
      </c>
      <c r="B767" s="28"/>
      <c r="C767" s="28"/>
      <c r="D767" s="28"/>
    </row>
    <row r="768" spans="1:4" ht="15">
      <c r="A768" s="30" t="s">
        <v>637</v>
      </c>
      <c r="B768" s="28"/>
      <c r="C768" s="28"/>
      <c r="D768" s="28"/>
    </row>
    <row r="769" spans="1:4" ht="15">
      <c r="A769" s="30" t="s">
        <v>638</v>
      </c>
      <c r="B769" s="28"/>
      <c r="C769" s="28"/>
      <c r="D769" s="28"/>
    </row>
    <row r="770" spans="1:4" ht="15">
      <c r="A770" s="30" t="s">
        <v>639</v>
      </c>
      <c r="B770" s="28"/>
      <c r="C770" s="28"/>
      <c r="D770" s="28"/>
    </row>
    <row r="771" spans="1:4" ht="15">
      <c r="A771" s="30" t="s">
        <v>640</v>
      </c>
      <c r="B771" s="28"/>
      <c r="C771" s="28"/>
      <c r="D771" s="28"/>
    </row>
    <row r="772" spans="1:4" ht="15">
      <c r="A772" s="30" t="s">
        <v>641</v>
      </c>
      <c r="B772" s="28"/>
      <c r="C772" s="28"/>
      <c r="D772" s="28"/>
    </row>
    <row r="773" spans="1:4" ht="15">
      <c r="A773" s="30" t="s">
        <v>642</v>
      </c>
      <c r="B773" s="28"/>
      <c r="C773" s="28"/>
      <c r="D773" s="28"/>
    </row>
    <row r="774" spans="1:4" ht="15">
      <c r="A774" s="30" t="s">
        <v>639</v>
      </c>
      <c r="B774" s="28"/>
      <c r="C774" s="28"/>
      <c r="D774" s="28"/>
    </row>
    <row r="775" spans="1:4" ht="15">
      <c r="A775" s="30" t="s">
        <v>643</v>
      </c>
      <c r="B775" s="28"/>
      <c r="C775" s="28"/>
      <c r="D775" s="28"/>
    </row>
    <row r="776" spans="1:4" ht="15">
      <c r="A776" s="30" t="s">
        <v>644</v>
      </c>
      <c r="B776" s="28"/>
      <c r="C776" s="28"/>
      <c r="D776" s="28"/>
    </row>
    <row r="777" spans="1:4" ht="15">
      <c r="A777" s="30" t="s">
        <v>631</v>
      </c>
      <c r="B777" s="28"/>
      <c r="C777" s="28"/>
      <c r="D777" s="28"/>
    </row>
    <row r="778" spans="1:4" ht="15">
      <c r="A778" s="30" t="s">
        <v>645</v>
      </c>
      <c r="B778" s="28"/>
      <c r="C778" s="28"/>
      <c r="D778" s="28"/>
    </row>
    <row r="779" spans="1:4" ht="15">
      <c r="A779" s="30" t="s">
        <v>646</v>
      </c>
      <c r="B779" s="28"/>
      <c r="C779" s="28"/>
      <c r="D779" s="28"/>
    </row>
    <row r="780" spans="1:4" ht="15">
      <c r="A780" s="30" t="s">
        <v>647</v>
      </c>
      <c r="B780" s="28"/>
      <c r="C780" s="28"/>
      <c r="D780" s="28"/>
    </row>
    <row r="781" spans="1:4" ht="15">
      <c r="A781" s="30" t="s">
        <v>648</v>
      </c>
      <c r="B781" s="28"/>
      <c r="C781" s="28"/>
      <c r="D781" s="28"/>
    </row>
    <row r="782" spans="1:4" ht="15">
      <c r="A782" s="30" t="s">
        <v>649</v>
      </c>
      <c r="B782" s="28"/>
      <c r="C782" s="28"/>
      <c r="D782" s="28"/>
    </row>
    <row r="783" spans="1:4" ht="15">
      <c r="A783" s="30" t="s">
        <v>650</v>
      </c>
      <c r="B783" s="28"/>
      <c r="C783" s="28"/>
      <c r="D783" s="28"/>
    </row>
    <row r="784" spans="1:4" ht="15">
      <c r="A784" s="30" t="s">
        <v>651</v>
      </c>
      <c r="B784" s="28"/>
      <c r="C784" s="28"/>
      <c r="D784" s="28"/>
    </row>
    <row r="785" spans="1:4" ht="15">
      <c r="A785" s="30" t="s">
        <v>652</v>
      </c>
      <c r="B785" s="28"/>
      <c r="C785" s="28"/>
      <c r="D785" s="28"/>
    </row>
    <row r="786" spans="1:4" ht="15">
      <c r="A786" s="30" t="s">
        <v>630</v>
      </c>
      <c r="B786" s="28"/>
      <c r="C786" s="28"/>
      <c r="D786" s="28"/>
    </row>
    <row r="787" spans="1:4" ht="15">
      <c r="A787" s="30" t="s">
        <v>653</v>
      </c>
      <c r="B787" s="28"/>
      <c r="C787" s="28"/>
      <c r="D787" s="28"/>
    </row>
    <row r="788" spans="1:4" ht="15">
      <c r="A788" s="30" t="s">
        <v>630</v>
      </c>
      <c r="B788" s="28"/>
      <c r="C788" s="28"/>
      <c r="D788" s="28"/>
    </row>
    <row r="789" spans="1:4" ht="15">
      <c r="A789" s="30" t="s">
        <v>631</v>
      </c>
      <c r="B789" s="28"/>
      <c r="C789" s="28"/>
      <c r="D789" s="28"/>
    </row>
    <row r="790" spans="1:4" ht="15">
      <c r="A790" s="30" t="s">
        <v>654</v>
      </c>
      <c r="B790" s="28"/>
      <c r="C790" s="28"/>
      <c r="D790" s="28"/>
    </row>
    <row r="791" spans="1:4" ht="15">
      <c r="A791" s="30" t="s">
        <v>630</v>
      </c>
      <c r="B791" s="28"/>
      <c r="C791" s="28"/>
      <c r="D791" s="28"/>
    </row>
    <row r="792" spans="1:4" ht="15">
      <c r="A792" s="30" t="s">
        <v>631</v>
      </c>
      <c r="B792" s="28"/>
      <c r="C792" s="28"/>
      <c r="D792" s="28"/>
    </row>
    <row r="793" spans="1:4" ht="15">
      <c r="A793" s="30" t="s">
        <v>655</v>
      </c>
      <c r="B793" s="28"/>
      <c r="C793" s="28"/>
      <c r="D793" s="28"/>
    </row>
    <row r="794" spans="1:4" ht="15">
      <c r="A794" s="30" t="s">
        <v>630</v>
      </c>
      <c r="B794" s="28"/>
      <c r="C794" s="28"/>
      <c r="D794" s="28"/>
    </row>
    <row r="795" spans="1:4" ht="15">
      <c r="A795" s="30" t="s">
        <v>631</v>
      </c>
      <c r="B795" s="28"/>
      <c r="C795" s="28"/>
      <c r="D795" s="28"/>
    </row>
    <row r="796" spans="1:4" ht="15">
      <c r="A796" s="30" t="s">
        <v>656</v>
      </c>
      <c r="B796" s="28"/>
      <c r="C796" s="28"/>
      <c r="D796" s="28"/>
    </row>
    <row r="797" spans="1:4">
      <c r="A797" s="28"/>
      <c r="B797" s="28"/>
      <c r="C797" s="28"/>
      <c r="D797" s="28"/>
    </row>
    <row r="798" spans="1:4" ht="18">
      <c r="A798" s="31" t="s">
        <v>657</v>
      </c>
      <c r="B798" s="28"/>
      <c r="C798" s="28"/>
      <c r="D798" s="28"/>
    </row>
    <row r="799" spans="1:4">
      <c r="A799" s="28"/>
      <c r="B799" s="28"/>
      <c r="C799" s="28"/>
      <c r="D799" s="28"/>
    </row>
    <row r="800" spans="1:4">
      <c r="A800" s="28" t="s">
        <v>658</v>
      </c>
      <c r="B800" s="28"/>
      <c r="C800" s="28"/>
      <c r="D800" s="28"/>
    </row>
    <row r="801" spans="1:4">
      <c r="A801" s="28"/>
      <c r="B801" s="28"/>
      <c r="C801" s="28"/>
      <c r="D801" s="28"/>
    </row>
    <row r="802" spans="1:4">
      <c r="A802" s="28" t="s">
        <v>659</v>
      </c>
      <c r="B802" s="28"/>
      <c r="C802" s="28"/>
      <c r="D802" s="28"/>
    </row>
    <row r="803" spans="1:4">
      <c r="A803" s="28"/>
      <c r="B803" s="28"/>
      <c r="C803" s="28"/>
      <c r="D803" s="28"/>
    </row>
    <row r="804" spans="1:4" ht="15">
      <c r="A804" s="30" t="s">
        <v>660</v>
      </c>
      <c r="B804" s="28"/>
      <c r="C804" s="28"/>
      <c r="D804" s="28"/>
    </row>
    <row r="805" spans="1:4" ht="15">
      <c r="A805" s="30" t="s">
        <v>661</v>
      </c>
      <c r="B805" s="28"/>
      <c r="C805" s="28"/>
      <c r="D805" s="28"/>
    </row>
    <row r="806" spans="1:4" ht="15">
      <c r="A806" s="30" t="s">
        <v>662</v>
      </c>
      <c r="B806" s="28"/>
      <c r="C806" s="28"/>
      <c r="D806" s="28"/>
    </row>
    <row r="807" spans="1:4" ht="15">
      <c r="A807" s="30" t="s">
        <v>661</v>
      </c>
      <c r="B807" s="28"/>
      <c r="C807" s="28"/>
      <c r="D807" s="28"/>
    </row>
    <row r="808" spans="1:4" ht="15">
      <c r="A808" s="30" t="s">
        <v>663</v>
      </c>
      <c r="B808" s="28"/>
      <c r="C808" s="28"/>
      <c r="D808" s="28"/>
    </row>
    <row r="809" spans="1:4">
      <c r="A809" s="28"/>
      <c r="B809" s="28"/>
      <c r="C809" s="28"/>
      <c r="D809" s="28"/>
    </row>
    <row r="810" spans="1:4">
      <c r="A810" s="28" t="s">
        <v>664</v>
      </c>
      <c r="B810" s="28"/>
      <c r="C810" s="28"/>
      <c r="D810" s="28"/>
    </row>
    <row r="811" spans="1:4">
      <c r="A811" s="28"/>
      <c r="B811" s="28"/>
      <c r="C811" s="28"/>
      <c r="D811" s="28"/>
    </row>
    <row r="812" spans="1:4">
      <c r="A812" s="28" t="s">
        <v>665</v>
      </c>
      <c r="B812" s="28"/>
      <c r="C812" s="28"/>
      <c r="D812" s="28"/>
    </row>
    <row r="813" spans="1:4">
      <c r="A813" s="28"/>
      <c r="B813" s="28"/>
      <c r="C813" s="28"/>
      <c r="D813" s="28"/>
    </row>
    <row r="814" spans="1:4">
      <c r="A814" s="28" t="s">
        <v>666</v>
      </c>
      <c r="B814" s="28"/>
      <c r="C814" s="28"/>
      <c r="D814" s="28"/>
    </row>
    <row r="815" spans="1:4">
      <c r="A815" s="28"/>
      <c r="B815" s="28"/>
      <c r="C815" s="28"/>
      <c r="D815" s="28"/>
    </row>
    <row r="816" spans="1:4">
      <c r="A816" s="28" t="s">
        <v>667</v>
      </c>
      <c r="B816" s="28"/>
      <c r="C816" s="28"/>
      <c r="D816" s="28"/>
    </row>
    <row r="817" spans="1:4">
      <c r="A817" s="28"/>
      <c r="B817" s="28"/>
      <c r="C817" s="28"/>
      <c r="D817" s="28"/>
    </row>
    <row r="818" spans="1:4">
      <c r="A818" s="28" t="s">
        <v>249</v>
      </c>
      <c r="B818" s="28"/>
      <c r="C818" s="28"/>
      <c r="D818" s="28"/>
    </row>
    <row r="819" spans="1:4">
      <c r="A819" s="28"/>
      <c r="B819" s="28"/>
      <c r="C819" s="28"/>
      <c r="D819" s="28"/>
    </row>
    <row r="820" spans="1:4">
      <c r="A820" s="28" t="s">
        <v>250</v>
      </c>
      <c r="B820" s="28"/>
      <c r="C820" s="28"/>
      <c r="D820" s="28"/>
    </row>
    <row r="821" spans="1:4">
      <c r="A821" s="28"/>
      <c r="B821" s="28"/>
      <c r="C821" s="28"/>
      <c r="D821" s="28"/>
    </row>
    <row r="822" spans="1:4">
      <c r="A822" s="28" t="s">
        <v>251</v>
      </c>
      <c r="B822" s="28"/>
      <c r="C822" s="28"/>
      <c r="D822" s="28"/>
    </row>
    <row r="823" spans="1:4">
      <c r="A823" s="4"/>
      <c r="B823" s="28"/>
      <c r="C823" s="28"/>
      <c r="D823" s="28"/>
    </row>
    <row r="824" spans="1:4">
      <c r="A824" s="8" t="s">
        <v>252</v>
      </c>
      <c r="B824" s="28"/>
      <c r="C824" s="28"/>
      <c r="D824" s="28"/>
    </row>
    <row r="825" spans="1:4">
      <c r="A825" s="8" t="s">
        <v>253</v>
      </c>
      <c r="B825" s="28"/>
      <c r="C825" s="28"/>
      <c r="D825" s="28"/>
    </row>
    <row r="826" spans="1:4">
      <c r="A826" s="8" t="s">
        <v>254</v>
      </c>
      <c r="B826" s="28"/>
      <c r="C826" s="28"/>
      <c r="D826" s="28"/>
    </row>
    <row r="827" spans="1:4">
      <c r="A827" s="8" t="s">
        <v>255</v>
      </c>
      <c r="B827" s="28"/>
      <c r="C827" s="28"/>
      <c r="D827" s="28"/>
    </row>
    <row r="828" spans="1:4">
      <c r="A828" s="8" t="s">
        <v>256</v>
      </c>
      <c r="B828" s="28"/>
      <c r="C828" s="28"/>
      <c r="D828" s="28"/>
    </row>
    <row r="829" spans="1:4">
      <c r="A829" s="28"/>
      <c r="B829" s="28"/>
      <c r="C829" s="28"/>
      <c r="D829" s="28"/>
    </row>
    <row r="830" spans="1:4">
      <c r="A830" s="28" t="s">
        <v>257</v>
      </c>
      <c r="B830" s="28"/>
      <c r="C830" s="28"/>
      <c r="D830" s="28"/>
    </row>
    <row r="831" spans="1:4">
      <c r="A831" s="28"/>
      <c r="B831" s="28"/>
      <c r="C831" s="28"/>
      <c r="D831" s="28"/>
    </row>
    <row r="832" spans="1:4">
      <c r="A832" s="28" t="s">
        <v>258</v>
      </c>
      <c r="B832" s="28"/>
      <c r="C832" s="28"/>
      <c r="D832" s="28"/>
    </row>
    <row r="833" spans="1:4">
      <c r="A833" s="28" t="s">
        <v>259</v>
      </c>
      <c r="B833" s="28"/>
      <c r="C833" s="28"/>
      <c r="D833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62"/>
  <sheetViews>
    <sheetView topLeftCell="A43" workbookViewId="0">
      <selection activeCell="J2" sqref="J2"/>
    </sheetView>
  </sheetViews>
  <sheetFormatPr defaultRowHeight="14.4"/>
  <cols>
    <col min="3" max="3" width="11.109375" customWidth="1"/>
  </cols>
  <sheetData>
    <row r="1" spans="10:10">
      <c r="J1" t="s">
        <v>669</v>
      </c>
    </row>
    <row r="2" spans="10:10">
      <c r="J2" s="111" t="s">
        <v>668</v>
      </c>
    </row>
    <row r="3" spans="10:10">
      <c r="J3" t="s">
        <v>670</v>
      </c>
    </row>
    <row r="17" spans="1:1">
      <c r="A17" t="s">
        <v>671</v>
      </c>
    </row>
    <row r="18" spans="1:1">
      <c r="A18" t="s">
        <v>672</v>
      </c>
    </row>
    <row r="19" spans="1:1">
      <c r="A19" t="s">
        <v>673</v>
      </c>
    </row>
    <row r="20" spans="1:1">
      <c r="A20" t="s">
        <v>674</v>
      </c>
    </row>
    <row r="21" spans="1:1">
      <c r="A21" t="s">
        <v>675</v>
      </c>
    </row>
    <row r="22" spans="1:1">
      <c r="A22" t="s">
        <v>676</v>
      </c>
    </row>
    <row r="23" spans="1:1">
      <c r="A23" t="s">
        <v>677</v>
      </c>
    </row>
    <row r="24" spans="1:1">
      <c r="A24" t="s">
        <v>294</v>
      </c>
    </row>
    <row r="26" spans="1:1">
      <c r="A26" t="s">
        <v>678</v>
      </c>
    </row>
    <row r="27" spans="1:1">
      <c r="A27" t="s">
        <v>679</v>
      </c>
    </row>
    <row r="28" spans="1:1">
      <c r="A28" t="s">
        <v>680</v>
      </c>
    </row>
    <row r="29" spans="1:1">
      <c r="A29" t="s">
        <v>681</v>
      </c>
    </row>
    <row r="30" spans="1:1">
      <c r="A30" t="s">
        <v>129</v>
      </c>
    </row>
    <row r="32" spans="1:1">
      <c r="A32" t="s">
        <v>682</v>
      </c>
    </row>
    <row r="33" spans="1:1">
      <c r="A33" t="s">
        <v>683</v>
      </c>
    </row>
    <row r="34" spans="1:1">
      <c r="A34" t="s">
        <v>684</v>
      </c>
    </row>
    <row r="36" spans="1:1">
      <c r="A36" t="s">
        <v>685</v>
      </c>
    </row>
    <row r="37" spans="1:1">
      <c r="A37" t="s">
        <v>686</v>
      </c>
    </row>
    <row r="38" spans="1:1">
      <c r="A38" t="s">
        <v>687</v>
      </c>
    </row>
    <row r="39" spans="1:1">
      <c r="A39" t="s">
        <v>688</v>
      </c>
    </row>
    <row r="40" spans="1:1">
      <c r="A40" t="s">
        <v>689</v>
      </c>
    </row>
    <row r="41" spans="1:1">
      <c r="A41" t="s">
        <v>690</v>
      </c>
    </row>
    <row r="42" spans="1:1">
      <c r="A42" t="s">
        <v>691</v>
      </c>
    </row>
    <row r="43" spans="1:1">
      <c r="A43" t="s">
        <v>692</v>
      </c>
    </row>
    <row r="44" spans="1:1">
      <c r="A44" t="s">
        <v>693</v>
      </c>
    </row>
    <row r="45" spans="1:1">
      <c r="A45" t="s">
        <v>694</v>
      </c>
    </row>
    <row r="46" spans="1:1">
      <c r="A46" t="s">
        <v>695</v>
      </c>
    </row>
    <row r="47" spans="1:1">
      <c r="A47" t="s">
        <v>696</v>
      </c>
    </row>
    <row r="48" spans="1:1">
      <c r="A48" t="s">
        <v>697</v>
      </c>
    </row>
    <row r="49" spans="1:1">
      <c r="A49" t="s">
        <v>698</v>
      </c>
    </row>
    <row r="50" spans="1:1">
      <c r="A50" t="s">
        <v>129</v>
      </c>
    </row>
    <row r="52" spans="1:1">
      <c r="A52" t="s">
        <v>699</v>
      </c>
    </row>
    <row r="53" spans="1:1">
      <c r="A53" t="s">
        <v>700</v>
      </c>
    </row>
    <row r="55" spans="1:1">
      <c r="A55" t="s">
        <v>701</v>
      </c>
    </row>
    <row r="56" spans="1:1">
      <c r="A56" t="s">
        <v>702</v>
      </c>
    </row>
    <row r="57" spans="1:1">
      <c r="A57" t="s">
        <v>703</v>
      </c>
    </row>
    <row r="58" spans="1:1">
      <c r="A58" t="s">
        <v>704</v>
      </c>
    </row>
    <row r="59" spans="1:1">
      <c r="A59" t="s">
        <v>705</v>
      </c>
    </row>
    <row r="60" spans="1:1">
      <c r="A60" t="s">
        <v>706</v>
      </c>
    </row>
    <row r="61" spans="1:1">
      <c r="A61" t="s">
        <v>707</v>
      </c>
    </row>
    <row r="62" spans="1:1">
      <c r="A62" t="s">
        <v>129</v>
      </c>
    </row>
  </sheetData>
  <pageMargins left="0.7" right="0.7" top="0.75" bottom="0.75" header="0.3" footer="0.3"/>
  <pageSetup orientation="portrait" horizontalDpi="4294967294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47"/>
  <sheetViews>
    <sheetView topLeftCell="A31" workbookViewId="0">
      <selection activeCell="H24" sqref="H24"/>
    </sheetView>
  </sheetViews>
  <sheetFormatPr defaultRowHeight="14.4"/>
  <sheetData>
    <row r="1" spans="1:1">
      <c r="A1" t="s">
        <v>107</v>
      </c>
    </row>
    <row r="2" spans="1:1">
      <c r="A2" t="s">
        <v>282</v>
      </c>
    </row>
    <row r="4" spans="1:1">
      <c r="A4" t="s">
        <v>671</v>
      </c>
    </row>
    <row r="5" spans="1:1">
      <c r="A5" t="s">
        <v>111</v>
      </c>
    </row>
    <row r="6" spans="1:1">
      <c r="A6" t="s">
        <v>708</v>
      </c>
    </row>
    <row r="7" spans="1:1">
      <c r="A7" t="s">
        <v>709</v>
      </c>
    </row>
    <row r="8" spans="1:1">
      <c r="A8" t="s">
        <v>710</v>
      </c>
    </row>
    <row r="9" spans="1:1">
      <c r="A9" t="s">
        <v>711</v>
      </c>
    </row>
    <row r="10" spans="1:1">
      <c r="A10" t="s">
        <v>129</v>
      </c>
    </row>
    <row r="11" spans="1:1">
      <c r="A11" t="s">
        <v>130</v>
      </c>
    </row>
    <row r="14" spans="1:1">
      <c r="A14" t="s">
        <v>712</v>
      </c>
    </row>
    <row r="15" spans="1:1">
      <c r="A15" t="s">
        <v>713</v>
      </c>
    </row>
    <row r="16" spans="1:1">
      <c r="A16" t="s">
        <v>714</v>
      </c>
    </row>
    <row r="17" spans="1:1">
      <c r="A17" t="s">
        <v>715</v>
      </c>
    </row>
    <row r="18" spans="1:1">
      <c r="A18" t="s">
        <v>716</v>
      </c>
    </row>
    <row r="21" spans="1:1">
      <c r="A21" t="s">
        <v>682</v>
      </c>
    </row>
    <row r="22" spans="1:1">
      <c r="A22" t="s">
        <v>717</v>
      </c>
    </row>
    <row r="23" spans="1:1">
      <c r="A23" t="s">
        <v>718</v>
      </c>
    </row>
    <row r="25" spans="1:1">
      <c r="A25" t="s">
        <v>685</v>
      </c>
    </row>
    <row r="26" spans="1:1">
      <c r="A26" t="s">
        <v>719</v>
      </c>
    </row>
    <row r="27" spans="1:1">
      <c r="A27" t="s">
        <v>720</v>
      </c>
    </row>
    <row r="28" spans="1:1">
      <c r="A28" t="s">
        <v>721</v>
      </c>
    </row>
    <row r="29" spans="1:1">
      <c r="A29" t="s">
        <v>722</v>
      </c>
    </row>
    <row r="30" spans="1:1">
      <c r="A30" t="s">
        <v>723</v>
      </c>
    </row>
    <row r="31" spans="1:1">
      <c r="A31" t="s">
        <v>724</v>
      </c>
    </row>
    <row r="32" spans="1:1">
      <c r="A32" t="s">
        <v>725</v>
      </c>
    </row>
    <row r="33" spans="1:1">
      <c r="A33" t="s">
        <v>726</v>
      </c>
    </row>
    <row r="34" spans="1:1">
      <c r="A34" t="s">
        <v>727</v>
      </c>
    </row>
    <row r="35" spans="1:1">
      <c r="A35" t="s">
        <v>162</v>
      </c>
    </row>
    <row r="36" spans="1:1">
      <c r="A36" t="s">
        <v>163</v>
      </c>
    </row>
    <row r="38" spans="1:1">
      <c r="A38" t="s">
        <v>728</v>
      </c>
    </row>
    <row r="39" spans="1:1">
      <c r="A39" t="s">
        <v>729</v>
      </c>
    </row>
    <row r="41" spans="1:1">
      <c r="A41" t="s">
        <v>701</v>
      </c>
    </row>
    <row r="42" spans="1:1">
      <c r="A42" t="s">
        <v>730</v>
      </c>
    </row>
    <row r="43" spans="1:1">
      <c r="A43" t="s">
        <v>731</v>
      </c>
    </row>
    <row r="44" spans="1:1">
      <c r="A44" t="s">
        <v>732</v>
      </c>
    </row>
    <row r="45" spans="1:1">
      <c r="A45" t="s">
        <v>733</v>
      </c>
    </row>
    <row r="46" spans="1:1">
      <c r="A46" t="s">
        <v>734</v>
      </c>
    </row>
    <row r="47" spans="1:1">
      <c r="A47" t="s">
        <v>735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F18" sqref="F18"/>
    </sheetView>
  </sheetViews>
  <sheetFormatPr defaultRowHeight="14.4"/>
  <cols>
    <col min="1" max="1" width="19.44140625" customWidth="1"/>
    <col min="2" max="2" width="24" customWidth="1"/>
    <col min="3" max="3" width="18.88671875" customWidth="1"/>
    <col min="5" max="5" width="20.21875" customWidth="1"/>
    <col min="6" max="6" width="23.33203125" customWidth="1"/>
  </cols>
  <sheetData>
    <row r="1" spans="1:6" ht="25.8" customHeight="1">
      <c r="A1" s="217" t="s">
        <v>902</v>
      </c>
      <c r="B1" s="217" t="s">
        <v>903</v>
      </c>
      <c r="E1" s="214" t="s">
        <v>909</v>
      </c>
      <c r="F1" s="214" t="s">
        <v>910</v>
      </c>
    </row>
    <row r="2" spans="1:6">
      <c r="A2" s="219">
        <v>100000</v>
      </c>
      <c r="B2" s="219">
        <v>7000</v>
      </c>
      <c r="E2" s="218" t="s">
        <v>911</v>
      </c>
      <c r="F2" s="219">
        <v>45678</v>
      </c>
    </row>
    <row r="3" spans="1:6">
      <c r="A3" s="219">
        <v>200000</v>
      </c>
      <c r="B3" s="219">
        <v>14000</v>
      </c>
      <c r="E3" s="218" t="s">
        <v>912</v>
      </c>
      <c r="F3" s="219">
        <v>23789</v>
      </c>
    </row>
    <row r="4" spans="1:6">
      <c r="A4" s="219">
        <v>300000</v>
      </c>
      <c r="B4" s="219">
        <v>21000</v>
      </c>
      <c r="E4" s="218" t="s">
        <v>913</v>
      </c>
      <c r="F4" s="219">
        <v>-4789</v>
      </c>
    </row>
    <row r="5" spans="1:6">
      <c r="A5" s="219">
        <v>400000</v>
      </c>
      <c r="B5" s="219">
        <v>28000</v>
      </c>
      <c r="E5" s="218" t="s">
        <v>914</v>
      </c>
      <c r="F5" s="218">
        <v>0</v>
      </c>
    </row>
    <row r="6" spans="1:6">
      <c r="E6" s="218" t="s">
        <v>915</v>
      </c>
      <c r="F6" s="219">
        <v>9678</v>
      </c>
    </row>
    <row r="7" spans="1:6" ht="49.8">
      <c r="A7" s="216">
        <f>AVERAGEIF(B2:B5,"&lt;23000")</f>
        <v>14000</v>
      </c>
      <c r="B7" s="216" t="s">
        <v>906</v>
      </c>
      <c r="E7" s="220">
        <f>AVERAGEIF(E2:E6,"=*West",     F2:F6)</f>
        <v>16733.5</v>
      </c>
      <c r="F7" s="216" t="s">
        <v>919</v>
      </c>
    </row>
    <row r="8" spans="1:6" ht="52.2">
      <c r="A8" s="216" t="e">
        <f>AVERAGEIF(A2:A5, "&lt;95000")</f>
        <v>#DIV/0!</v>
      </c>
      <c r="B8" s="216" t="s">
        <v>918</v>
      </c>
      <c r="E8" s="220">
        <f>AVERAGEIF(E2:E6,"&lt;&gt;*(New Office)",       F2:F6)</f>
        <v>18589</v>
      </c>
      <c r="F8" s="216" t="s">
        <v>920</v>
      </c>
    </row>
    <row r="9" spans="1:6" ht="70.8">
      <c r="A9" s="221">
        <f>AVERAGEIF(A2:A5,"&gt;250000",     B2:B5)</f>
        <v>24500</v>
      </c>
      <c r="B9" s="222" t="s">
        <v>917</v>
      </c>
      <c r="C9" s="223" t="s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k_means</vt:lpstr>
      <vt:lpstr>MEDOID</vt:lpstr>
      <vt:lpstr>K_MEAN_2D</vt:lpstr>
      <vt:lpstr>id3</vt:lpstr>
      <vt:lpstr>id3_py</vt:lpstr>
      <vt:lpstr>py_salary</vt:lpstr>
      <vt:lpstr>id3_part_R</vt:lpstr>
      <vt:lpstr>id3_py1</vt:lpstr>
      <vt:lpstr>AverageIF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hemungshew borgohain</dc:creator>
  <cp:lastModifiedBy>hemungshew borgohain</cp:lastModifiedBy>
  <dcterms:created xsi:type="dcterms:W3CDTF">2026-08-06T08:06:49Z</dcterms:created>
  <dcterms:modified xsi:type="dcterms:W3CDTF">2026-08-27T13:36:21Z</dcterms:modified>
</cp:coreProperties>
</file>