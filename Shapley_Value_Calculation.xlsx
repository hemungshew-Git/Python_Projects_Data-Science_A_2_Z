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0" yWindow="0" windowWidth="16380" windowHeight="8196" tabRatio="500"/>
  </bookViews>
  <sheets>
    <sheet name="Dataset" sheetId="1" r:id="rId1"/>
    <sheet name="Model &amp; Baseline" sheetId="2" r:id="rId2"/>
    <sheet name="Row2 Brute-Force Detail" sheetId="4" r:id="rId3"/>
    <sheet name="Sheet2" sheetId="6" r:id="rId4"/>
    <sheet name="Sheet3" sheetId="7" r:id="rId5"/>
    <sheet name="Shapley Summary" sheetId="3" r:id="rId6"/>
    <sheet name="Alternate_to_TREE" sheetId="8" r:id="rId7"/>
  </sheets>
  <calcPr calcId="12451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H25" i="4"/>
  <c r="G25"/>
  <c r="G31"/>
  <c r="H11"/>
  <c r="H13"/>
  <c r="H14"/>
  <c r="H15"/>
  <c r="H16"/>
  <c r="H17"/>
  <c r="H18"/>
  <c r="H19"/>
  <c r="G19"/>
  <c r="N3" i="2"/>
  <c r="M8"/>
  <c r="D21" i="4" s="1"/>
  <c r="O30"/>
  <c r="L30"/>
  <c r="D28"/>
  <c r="D26"/>
  <c r="D25"/>
  <c r="I8" i="2"/>
  <c r="B9" i="1"/>
  <c r="D17" i="2"/>
  <c r="D15"/>
  <c r="D31" i="4"/>
  <c r="D33"/>
  <c r="D32"/>
  <c r="P26"/>
  <c r="Q19" s="1"/>
  <c r="P27"/>
  <c r="P28"/>
  <c r="P29"/>
  <c r="P25"/>
  <c r="G13"/>
  <c r="E13"/>
  <c r="F13"/>
  <c r="N30"/>
  <c r="M30"/>
  <c r="N7" i="2"/>
  <c r="N6"/>
  <c r="N4"/>
  <c r="N5"/>
  <c r="K8"/>
  <c r="J8"/>
  <c r="D40" i="4"/>
  <c r="D39"/>
  <c r="D38"/>
  <c r="D37"/>
  <c r="D34"/>
  <c r="D27"/>
  <c r="F19"/>
  <c r="I19" s="1"/>
  <c r="E19"/>
  <c r="G18"/>
  <c r="F18"/>
  <c r="G17"/>
  <c r="E17"/>
  <c r="F16"/>
  <c r="E16"/>
  <c r="G15"/>
  <c r="F14"/>
  <c r="E8" i="3"/>
  <c r="D8"/>
  <c r="I8" s="1"/>
  <c r="C8"/>
  <c r="H8" s="1"/>
  <c r="B8"/>
  <c r="A8"/>
  <c r="I7"/>
  <c r="E7"/>
  <c r="D7"/>
  <c r="C7"/>
  <c r="H7" s="1"/>
  <c r="B7"/>
  <c r="A7"/>
  <c r="E6"/>
  <c r="D6"/>
  <c r="I6" s="1"/>
  <c r="C6"/>
  <c r="H6" s="1"/>
  <c r="B6"/>
  <c r="A6"/>
  <c r="I5"/>
  <c r="E5"/>
  <c r="D5"/>
  <c r="C5"/>
  <c r="H5" s="1"/>
  <c r="B5"/>
  <c r="F5" s="1"/>
  <c r="A5"/>
  <c r="E4"/>
  <c r="D4"/>
  <c r="I4" s="1"/>
  <c r="C4"/>
  <c r="B4"/>
  <c r="A4"/>
  <c r="F9" i="1"/>
  <c r="D9"/>
  <c r="G16" i="4" s="1"/>
  <c r="C9" i="1"/>
  <c r="F17" i="4" s="1"/>
  <c r="I16" l="1"/>
  <c r="E25"/>
  <c r="I13"/>
  <c r="P30"/>
  <c r="F4" i="3"/>
  <c r="F7"/>
  <c r="F6"/>
  <c r="F8"/>
  <c r="I17" i="4"/>
  <c r="E40"/>
  <c r="E26"/>
  <c r="G4" i="3"/>
  <c r="G6"/>
  <c r="J6" s="1"/>
  <c r="E11" i="4"/>
  <c r="E14"/>
  <c r="E15"/>
  <c r="E18"/>
  <c r="G8" i="3"/>
  <c r="J8" s="1"/>
  <c r="G5"/>
  <c r="J5" s="1"/>
  <c r="G7"/>
  <c r="J7" s="1"/>
  <c r="G11" i="4"/>
  <c r="G14"/>
  <c r="H4" i="3"/>
  <c r="F11" i="4"/>
  <c r="F15"/>
  <c r="E39" l="1"/>
  <c r="I18"/>
  <c r="I11"/>
  <c r="F27"/>
  <c r="E28"/>
  <c r="I14"/>
  <c r="E34"/>
  <c r="I15"/>
  <c r="J4" i="3"/>
  <c r="F40" i="4"/>
  <c r="G40" s="1"/>
  <c r="H40" s="1"/>
  <c r="E32"/>
  <c r="F25"/>
  <c r="F34"/>
  <c r="E27"/>
  <c r="E38"/>
  <c r="F38"/>
  <c r="F32"/>
  <c r="F28" l="1"/>
  <c r="G28" s="1"/>
  <c r="H28" s="1"/>
  <c r="E33"/>
  <c r="G34"/>
  <c r="H34" s="1"/>
  <c r="F33"/>
  <c r="E37"/>
  <c r="F31"/>
  <c r="F37"/>
  <c r="F39"/>
  <c r="G39" s="1"/>
  <c r="H39" s="1"/>
  <c r="E31"/>
  <c r="F26"/>
  <c r="G27"/>
  <c r="H27" s="1"/>
  <c r="G32"/>
  <c r="H32" s="1"/>
  <c r="G38"/>
  <c r="H38" s="1"/>
  <c r="G26" l="1"/>
  <c r="H26" s="1"/>
  <c r="H29" s="1"/>
  <c r="G37"/>
  <c r="H37" s="1"/>
  <c r="H41" s="1"/>
  <c r="G33"/>
  <c r="H33" s="1"/>
  <c r="H31"/>
  <c r="H35" l="1"/>
  <c r="Q18" s="1"/>
</calcChain>
</file>

<file path=xl/comments1.xml><?xml version="1.0" encoding="utf-8"?>
<comments xmlns="http://schemas.openxmlformats.org/spreadsheetml/2006/main">
  <authors>
    <author>hemungshew borgohain</author>
  </authors>
  <commentList>
    <comment ref="G16" authorId="0">
      <text>
        <r>
          <rPr>
            <b/>
            <sz val="11"/>
            <color indexed="81"/>
            <rFont val="Tahoma"/>
            <family val="2"/>
          </rPr>
          <t>As C is not participating =&gt; we give C (mean value as his share)!</t>
        </r>
      </text>
    </comment>
    <comment ref="E25" authorId="0">
      <text>
        <r>
          <rPr>
            <b/>
            <sz val="14"/>
            <color indexed="81"/>
            <rFont val="Tahoma"/>
            <family val="2"/>
          </rPr>
          <t>L ALONE</t>
        </r>
      </text>
    </comment>
    <comment ref="E26" authorId="0">
      <text>
        <r>
          <rPr>
            <b/>
            <sz val="16"/>
            <color indexed="81"/>
            <rFont val="Tahoma"/>
            <family val="2"/>
          </rPr>
          <t>both L &amp; I</t>
        </r>
      </text>
    </comment>
    <comment ref="F26" authorId="0">
      <text>
        <r>
          <rPr>
            <b/>
            <sz val="18"/>
            <color indexed="81"/>
            <rFont val="Tahoma"/>
            <family val="2"/>
          </rPr>
          <t>I (ALONE)</t>
        </r>
      </text>
    </comment>
    <comment ref="E27" authorId="0">
      <text>
        <r>
          <rPr>
            <b/>
            <sz val="16"/>
            <color indexed="81"/>
            <rFont val="Tahoma"/>
            <family val="2"/>
          </rPr>
          <t>BOTH L &amp; C</t>
        </r>
      </text>
    </comment>
    <comment ref="F27" authorId="0">
      <text>
        <r>
          <rPr>
            <b/>
            <sz val="14"/>
            <color indexed="81"/>
            <rFont val="Tahoma"/>
            <family val="2"/>
          </rPr>
          <t>C ALONE</t>
        </r>
      </text>
    </comment>
    <comment ref="E28" authorId="0">
      <text>
        <r>
          <rPr>
            <b/>
            <sz val="16"/>
            <color indexed="81"/>
            <rFont val="Tahoma"/>
            <family val="2"/>
          </rPr>
          <t>ALL 3 (L, I, C) TOGETHER</t>
        </r>
      </text>
    </comment>
    <comment ref="F28" authorId="0">
      <text>
        <r>
          <rPr>
            <b/>
            <sz val="14"/>
            <color indexed="81"/>
            <rFont val="Tahoma"/>
            <family val="2"/>
          </rPr>
          <t>BOTH (I, C )</t>
        </r>
      </text>
    </comment>
  </commentList>
</comments>
</file>

<file path=xl/sharedStrings.xml><?xml version="1.0" encoding="utf-8"?>
<sst xmlns="http://schemas.openxmlformats.org/spreadsheetml/2006/main" count="290" uniqueCount="228">
  <si>
    <t>Row</t>
  </si>
  <si>
    <t>Loan Amt (L)</t>
  </si>
  <si>
    <t>Income (I)</t>
  </si>
  <si>
    <t>Credit Score (C)</t>
  </si>
  <si>
    <t>Approval (%)</t>
  </si>
  <si>
    <t>Mean</t>
  </si>
  <si>
    <t>Note: 'Mean' row = the background/reference point used to represent a 'missing' feature when computing Shapley values (a common choice when you only have a dataset, not a full simulator).</t>
  </si>
  <si>
    <t>Surrogate Black-Box Model f(x)  —  Linear Regression Stand-in</t>
  </si>
  <si>
    <t>Since we don't have the actual Random Forest / Neural Net, a linear model was fit to the 5 rows (least squares, via Python/scikit-learn) to act as f(x). Coefficients below are hardcoded inputs (documented) — everything downstream is a live formula.</t>
  </si>
  <si>
    <t>Intercept (b0)</t>
  </si>
  <si>
    <t>Coef L (b1)</t>
  </si>
  <si>
    <t>Coef I (b2)</t>
  </si>
  <si>
    <t>Coef C (b3)</t>
  </si>
  <si>
    <t>Source: fit with sklearn.linear_model.LinearRegression() on the 5-row Loan Dataset (ordinary least squares). Predicts Approval (%) from L, I, C.</t>
  </si>
  <si>
    <t>Baseline v(∅)  =  f(mean L, mean I, mean C)</t>
  </si>
  <si>
    <t>Shapley Values — All Rows (closed form for a linear model: phi_i = b_i * (x_i - mean_i))</t>
  </si>
  <si>
    <t>L</t>
  </si>
  <si>
    <t>I</t>
  </si>
  <si>
    <t>C</t>
  </si>
  <si>
    <t>Actual Approval</t>
  </si>
  <si>
    <t>Model Pred f(x)</t>
  </si>
  <si>
    <t>phi_L</t>
  </si>
  <si>
    <t>phi_I</t>
  </si>
  <si>
    <t>phi_C</t>
  </si>
  <si>
    <t>Baseline+ sum(phi)</t>
  </si>
  <si>
    <t>Check column J should equal column F (Model Pred) for every row — this is the Shapley 'efficiency' property: baseline + sum of all feature contributions = the model's actual output.</t>
  </si>
  <si>
    <t>Worked Example — Row 2 (L=$15,000, I=$60,000, C=680) — Full Shapley Enumeration</t>
  </si>
  <si>
    <t>This sheet brute-forces the exact Shapley formula: phi_i = sum over subsets S of others [ |S|!(n-|S|-1)!/n! * (v(S∪i) - v(S)) ], n=3 features, so 8 subsets total.</t>
  </si>
  <si>
    <t>Instance to explain (Row 2):</t>
  </si>
  <si>
    <t>Step 1 — Value function v(S) for all 8 coalitions</t>
  </si>
  <si>
    <t>Subset S</t>
  </si>
  <si>
    <t>L in S?</t>
  </si>
  <si>
    <t>I in S?</t>
  </si>
  <si>
    <t>C in S?</t>
  </si>
  <si>
    <t>L used</t>
  </si>
  <si>
    <t>I used</t>
  </si>
  <si>
    <t>C used</t>
  </si>
  <si>
    <t>v(S) = f(...)</t>
  </si>
  <si>
    <t>{}</t>
  </si>
  <si>
    <t>{L}</t>
  </si>
  <si>
    <t>{I}</t>
  </si>
  <si>
    <t>{C}</t>
  </si>
  <si>
    <t>{L,I}</t>
  </si>
  <si>
    <t>{L,C}</t>
  </si>
  <si>
    <t>{I,C}</t>
  </si>
  <si>
    <t>{L,I,C}</t>
  </si>
  <si>
    <t>Step 2 — Weighted marginal contributions per feature (n=3, weights = |S|!(n-|S|-1)!/3!)</t>
  </si>
  <si>
    <t>Feature</t>
  </si>
  <si>
    <t>Coalition S (others)</t>
  </si>
  <si>
    <t>|S|</t>
  </si>
  <si>
    <t>Weight</t>
  </si>
  <si>
    <t>v(S∪i)</t>
  </si>
  <si>
    <t>v(S)</t>
  </si>
  <si>
    <t>Marginal</t>
  </si>
  <si>
    <t>Weight × Marginal</t>
  </si>
  <si>
    <t>{}   (add to {})</t>
  </si>
  <si>
    <t>{I}  (add to {I})</t>
  </si>
  <si>
    <t>{C}  (add to {C})</t>
  </si>
  <si>
    <t>{I,C} (add to {I,C})</t>
  </si>
  <si>
    <t>phi_L =</t>
  </si>
  <si>
    <t>{L}  (add to {L})</t>
  </si>
  <si>
    <t>{L,C} (add to {L,C})</t>
  </si>
  <si>
    <t>phi_I =</t>
  </si>
  <si>
    <t>{L,I} (add to {L,I})</t>
  </si>
  <si>
    <t>phi_C =</t>
  </si>
  <si>
    <t>Check: baseline + phi_L + phi_I + phi_C =</t>
  </si>
  <si>
    <t>Here's the full Shapley value calculation, done two ways so you can see the general method and confirm it against a closed-form check.</t>
  </si>
  <si>
    <r>
      <t>The Shapley formula</t>
    </r>
    <r>
      <rPr>
        <sz val="11"/>
        <color theme="1"/>
        <rFont val="Calibri"/>
        <family val="2"/>
        <charset val="1"/>
      </rPr>
      <t xml:space="preserve"> (for feature </t>
    </r>
    <r>
      <rPr>
        <i/>
        <sz val="11"/>
        <color theme="1"/>
        <rFont val="Calibri"/>
        <family val="2"/>
        <charset val="1"/>
      </rPr>
      <t>i</t>
    </r>
    <r>
      <rPr>
        <sz val="11"/>
        <color theme="1"/>
        <rFont val="Calibri"/>
        <family val="2"/>
        <charset val="1"/>
      </rPr>
      <t xml:space="preserve">, out of feature set </t>
    </r>
    <r>
      <rPr>
        <i/>
        <sz val="11"/>
        <color theme="1"/>
        <rFont val="Calibri"/>
        <family val="2"/>
        <charset val="1"/>
      </rPr>
      <t>F</t>
    </r>
    <r>
      <rPr>
        <sz val="11"/>
        <color theme="1"/>
        <rFont val="Calibri"/>
        <family val="2"/>
        <charset val="1"/>
      </rPr>
      <t>):</t>
    </r>
  </si>
  <si>
    <t>φᵢ = Σ over subsets S⊆F{i}: [|S|!·(|F|-|S|-1)!/|F|!] × [v(S∪{i}) − v(S)]</t>
  </si>
  <si>
    <t>Here v(S) = the model's prediction when only the features in S are "known" and the rest are marginalized out (usually by averaging over the training/background data).</t>
  </si>
  <si>
    <t>Setup on your dataset:</t>
  </si>
  <si>
    <t>Features: L, I, C → 3 features → 8 possible subsets (2³)</t>
  </si>
  <si>
    <t>I fit a quick linear model on your 5 rows to act as the black-box f(x), and used the dataset mean (L̄=29,400, Ī=68,000, C̄=728) as the baseline/missing-feature value.</t>
  </si>
  <si>
    <r>
      <t xml:space="preserve">Baseline v(∅) = model prediction at the mean = </t>
    </r>
    <r>
      <rPr>
        <b/>
        <sz val="11"/>
        <color theme="1"/>
        <rFont val="Calibri"/>
        <family val="2"/>
        <charset val="1"/>
      </rPr>
      <t>59.0%</t>
    </r>
  </si>
  <si>
    <t>Worked example — Row 2 (L=15,000, I=60,000, C=680, actual=40%):</t>
  </si>
  <si>
    <t>I enumerated all 8 coalitions, computed the weighted marginal contribution of each feature across them, and got:</t>
  </si>
  <si>
    <t>Shapley value φ</t>
  </si>
  <si>
    <t>L (Loan Amt)</t>
  </si>
  <si>
    <t>−5.29</t>
  </si>
  <si>
    <t>I (Income)</t>
  </si>
  <si>
    <t>C (Credit Score)</t>
  </si>
  <si>
    <t>−27.57</t>
  </si>
  <si>
    <r>
      <t xml:space="preserve">Check: 59.0 (baseline) + (−5.29 + 5.68 − 27.57) = </t>
    </r>
    <r>
      <rPr>
        <b/>
        <sz val="11"/>
        <color theme="1"/>
        <rFont val="Calibri"/>
        <family val="2"/>
        <charset val="1"/>
      </rPr>
      <t>31.83%</t>
    </r>
    <r>
      <rPr>
        <sz val="11"/>
        <color theme="1"/>
        <rFont val="Calibri"/>
        <family val="2"/>
        <charset val="1"/>
      </rPr>
      <t>, matching the model's actual prediction for that row exactly. So the low credit score (680) is by far the biggest driver pulling this applicant's approval odds down.</t>
    </r>
  </si>
  <si>
    <r>
      <t>Shapley values for all 5 rows</t>
    </r>
    <r>
      <rPr>
        <sz val="11"/>
        <color theme="1"/>
        <rFont val="Calibri"/>
        <family val="2"/>
        <charset val="1"/>
      </rPr>
      <t xml:space="preserve"> (baseline = 59.0):</t>
    </r>
  </si>
  <si>
    <t>φ_L</t>
  </si>
  <si>
    <t>φ_I</t>
  </si>
  <si>
    <t>φ_C</t>
  </si>
  <si>
    <t>baseline+Σφ</t>
  </si>
  <si>
    <t>actual</t>
  </si>
  <si>
    <t>−7.13</t>
  </si>
  <si>
    <t>−4.59</t>
  </si>
  <si>
    <t>−12.07</t>
  </si>
  <si>
    <t>−6.39</t>
  </si>
  <si>
    <t>−21.82</t>
  </si>
  <si>
    <t>−1.62</t>
  </si>
  <si>
    <t>−22.72</t>
  </si>
  <si>
    <r>
      <t>Key property:</t>
    </r>
    <r>
      <rPr>
        <sz val="11"/>
        <color theme="1"/>
        <rFont val="Calibri"/>
        <family val="2"/>
        <charset val="1"/>
      </rPr>
      <t xml:space="preserve"> in every row, baseline + φ_L + φ_I + φ_C = the model's prediction exactly — this "efficiency" property is what makes Shapley values additive and interpretable (each feature's φ is literally its fair share of the distance between the average prediction and this instance's prediction).</t>
    </r>
  </si>
  <si>
    <r>
      <t xml:space="preserve">For an actual black-box (Random Forest / Neural Net) instead of my quick linear stand-in, the formula is identical — you'd just replace v(S) with the real model's prediction after marginalizing the missing features (that's exactly what SHAP's </t>
    </r>
    <r>
      <rPr>
        <sz val="10"/>
        <color theme="1"/>
        <rFont val="Arial Unicode MS"/>
        <family val="2"/>
      </rPr>
      <t>TreeExplainer</t>
    </r>
    <r>
      <rPr>
        <sz val="11"/>
        <color theme="1"/>
        <rFont val="Calibri"/>
        <family val="2"/>
        <charset val="1"/>
      </rPr>
      <t xml:space="preserve"> / </t>
    </r>
    <r>
      <rPr>
        <sz val="10"/>
        <color theme="1"/>
        <rFont val="Arial Unicode MS"/>
        <family val="2"/>
      </rPr>
      <t>KernelExplainer</t>
    </r>
    <r>
      <rPr>
        <sz val="11"/>
        <color theme="1"/>
        <rFont val="Calibri"/>
        <family val="2"/>
        <charset val="1"/>
      </rPr>
      <t xml:space="preserve"> automate, since brute-forcing all 2ⁿ subsets gets expensive fast as feature count grows).</t>
    </r>
  </si>
  <si>
    <t>Want me to redo this with an actual Random Forest trained on this data (or a larger synthetic version of it) so the numbers reflect a real black-box model rather than the linear stand-in?</t>
  </si>
  <si>
    <t>Harmless stray line, already saved fine before the error. Let me remove it and recalculate the workbook.</t>
  </si>
  <si>
    <t>Ran 4 commands, edited a file, read a file · 2 notes</t>
  </si>
  <si>
    <t>Four tabs, all live formulas (change any input and everything recalculates):</t>
  </si>
  <si>
    <r>
      <t>1. Dataset</t>
    </r>
    <r>
      <rPr>
        <sz val="11"/>
        <color theme="1"/>
        <rFont val="Calibri"/>
        <family val="2"/>
        <charset val="1"/>
      </rPr>
      <t xml:space="preserve"> — your 5 rows plus the feature means (used as the "missing feature" baseline)</t>
    </r>
  </si>
  <si>
    <r>
      <t>2. Model &amp; Baseline</t>
    </r>
    <r>
      <rPr>
        <sz val="11"/>
        <color theme="1"/>
        <rFont val="Calibri"/>
        <family val="2"/>
        <charset val="1"/>
      </rPr>
      <t xml:space="preserve"> — the linear model coefficients (blue = hardcoded input) and baseline v(∅)</t>
    </r>
  </si>
  <si>
    <r>
      <t>3. Shapley Summary</t>
    </r>
    <r>
      <rPr>
        <sz val="11"/>
        <color theme="1"/>
        <rFont val="Calibri"/>
        <family val="2"/>
        <charset val="1"/>
      </rPr>
      <t xml:space="preserve"> — φ_L, φ_I, φ_C for all 5 rows using the closed-form shortcut, with a check column proving baseline + Σφ = the model's prediction</t>
    </r>
  </si>
  <si>
    <r>
      <t>4. Row2 Brute-Force Detail</t>
    </r>
    <r>
      <rPr>
        <sz val="11"/>
        <color theme="1"/>
        <rFont val="Calibri"/>
        <family val="2"/>
        <charset val="1"/>
      </rPr>
      <t xml:space="preserve"> — the full manual method: all 8 feature coalitions, their v(S) values, then the weighted marginal-contribution table for each feature, ending in the same φ values as a cross-check</t>
    </r>
  </si>
  <si>
    <t>In R, the main ones are:</t>
  </si>
  <si>
    <r>
      <t>shapr</t>
    </r>
    <r>
      <rPr>
        <sz val="11"/>
        <color theme="1"/>
        <rFont val="Calibri"/>
        <family val="2"/>
        <charset val="1"/>
      </rPr>
      <t xml:space="preserve"> – general-purpose Shapley value explanations for any predictive model, handles feature dependence well.</t>
    </r>
  </si>
  <si>
    <r>
      <t>iml</t>
    </r>
    <r>
      <rPr>
        <sz val="11"/>
        <color theme="1"/>
        <rFont val="Calibri"/>
        <family val="2"/>
        <charset val="1"/>
      </rPr>
      <t xml:space="preserve"> (Interpretable Machine Learning) – has a </t>
    </r>
    <r>
      <rPr>
        <sz val="10"/>
        <color theme="1"/>
        <rFont val="Arial Unicode MS"/>
        <family val="2"/>
      </rPr>
      <t>Shapley</t>
    </r>
    <r>
      <rPr>
        <sz val="11"/>
        <color theme="1"/>
        <rFont val="Calibri"/>
        <family val="2"/>
        <charset val="1"/>
      </rPr>
      <t xml:space="preserve"> class alongside other interpretability tools (PDP, ICE, etc.).</t>
    </r>
  </si>
  <si>
    <r>
      <t>fastshap</t>
    </r>
    <r>
      <rPr>
        <sz val="11"/>
        <color theme="1"/>
        <rFont val="Calibri"/>
        <family val="2"/>
        <charset val="1"/>
      </rPr>
      <t xml:space="preserve"> – fast approximate Shapley values via Monte Carlo sampling.</t>
    </r>
  </si>
  <si>
    <r>
      <t>kernelshap</t>
    </r>
    <r>
      <rPr>
        <sz val="11"/>
        <color theme="1"/>
        <rFont val="Calibri"/>
        <family val="2"/>
        <charset val="1"/>
      </rPr>
      <t xml:space="preserve"> – R implementation of the KernelSHAP method (model-agnostic, works well with </t>
    </r>
    <r>
      <rPr>
        <sz val="10"/>
        <color theme="1"/>
        <rFont val="Arial Unicode MS"/>
        <family val="2"/>
      </rPr>
      <t>DALEX</t>
    </r>
    <r>
      <rPr>
        <sz val="11"/>
        <color theme="1"/>
        <rFont val="Calibri"/>
        <family val="2"/>
        <charset val="1"/>
      </rPr>
      <t>/</t>
    </r>
    <r>
      <rPr>
        <sz val="10"/>
        <color theme="1"/>
        <rFont val="Arial Unicode MS"/>
        <family val="2"/>
      </rPr>
      <t>tidymodels</t>
    </r>
    <r>
      <rPr>
        <sz val="11"/>
        <color theme="1"/>
        <rFont val="Calibri"/>
        <family val="2"/>
        <charset val="1"/>
      </rPr>
      <t>).</t>
    </r>
  </si>
  <si>
    <r>
      <t>treeshap</t>
    </r>
    <r>
      <rPr>
        <sz val="11"/>
        <color theme="1"/>
        <rFont val="Calibri"/>
        <family val="2"/>
        <charset val="1"/>
      </rPr>
      <t xml:space="preserve"> – optimized exact Shapley values specifically for tree-based models (XGBoost, LightGBM, ranger, etc.).</t>
    </r>
  </si>
  <si>
    <r>
      <t>SHAPforxgboost</t>
    </r>
    <r>
      <rPr>
        <sz val="11"/>
        <color theme="1"/>
        <rFont val="Calibri"/>
        <family val="2"/>
        <charset val="1"/>
      </rPr>
      <t xml:space="preserve"> – SHAP visualizations tailored to XGBoost models.</t>
    </r>
  </si>
  <si>
    <r>
      <t xml:space="preserve">If you're using a tree ensemble (Random Forest, XGBoost), </t>
    </r>
    <r>
      <rPr>
        <sz val="10"/>
        <color theme="1"/>
        <rFont val="Arial Unicode MS"/>
        <family val="2"/>
      </rPr>
      <t>treeshap</t>
    </r>
    <r>
      <rPr>
        <sz val="11"/>
        <color theme="1"/>
        <rFont val="Calibri"/>
        <family val="2"/>
        <charset val="1"/>
      </rPr>
      <t xml:space="preserve"> or </t>
    </r>
    <r>
      <rPr>
        <sz val="10"/>
        <color theme="1"/>
        <rFont val="Arial Unicode MS"/>
        <family val="2"/>
      </rPr>
      <t>SHAPforxgboost</t>
    </r>
    <r>
      <rPr>
        <sz val="11"/>
        <color theme="1"/>
        <rFont val="Calibri"/>
        <family val="2"/>
        <charset val="1"/>
      </rPr>
      <t xml:space="preserve"> will be fastest since they use the exact tree-structure algorithm rather than sampling. For a general black-box model (neural net, SVM, etc.), </t>
    </r>
    <r>
      <rPr>
        <sz val="10"/>
        <color theme="1"/>
        <rFont val="Arial Unicode MS"/>
        <family val="2"/>
      </rPr>
      <t>shapr</t>
    </r>
    <r>
      <rPr>
        <sz val="11"/>
        <color theme="1"/>
        <rFont val="Calibri"/>
        <family val="2"/>
        <charset val="1"/>
      </rPr>
      <t xml:space="preserve"> or </t>
    </r>
    <r>
      <rPr>
        <sz val="10"/>
        <color theme="1"/>
        <rFont val="Arial Unicode MS"/>
        <family val="2"/>
      </rPr>
      <t>kernelshap</t>
    </r>
    <r>
      <rPr>
        <sz val="11"/>
        <color theme="1"/>
        <rFont val="Calibri"/>
        <family val="2"/>
        <charset val="1"/>
      </rPr>
      <t xml:space="preserve"> are the standard choices.</t>
    </r>
  </si>
  <si>
    <t>Yes — SHAP works with any model that produces predictions, including polynomial regression. A few things worth knowing:</t>
  </si>
  <si>
    <r>
      <t>Which explainer to use</t>
    </r>
    <r>
      <rPr>
        <sz val="11"/>
        <color theme="1"/>
        <rFont val="Calibri"/>
        <family val="2"/>
        <charset val="1"/>
      </rPr>
      <t xml:space="preserve">: since polynomial regression is just linear regression on transformed features (x, x², x³, interactions, etc.), you'd typically use a </t>
    </r>
    <r>
      <rPr>
        <b/>
        <sz val="11"/>
        <color theme="1"/>
        <rFont val="Calibri"/>
        <family val="2"/>
        <charset val="1"/>
      </rPr>
      <t>KernelExplainer</t>
    </r>
    <r>
      <rPr>
        <sz val="11"/>
        <color theme="1"/>
        <rFont val="Calibri"/>
        <family val="2"/>
        <charset val="1"/>
      </rPr>
      <t xml:space="preserve"> (model-agnostic, works on the prediction function) rather than </t>
    </r>
    <r>
      <rPr>
        <sz val="10"/>
        <color theme="1"/>
        <rFont val="Arial Unicode MS"/>
        <family val="2"/>
      </rPr>
      <t>TreeExplainer</t>
    </r>
    <r>
      <rPr>
        <sz val="11"/>
        <color theme="1"/>
        <rFont val="Calibri"/>
        <family val="2"/>
        <charset val="1"/>
      </rPr>
      <t>. There's no fast closed-form explainer specific to polynomial regression the way there is for trees or plain linear models.</t>
    </r>
  </si>
  <si>
    <r>
      <t>Important nuance — explain on original features, not expanded ones</t>
    </r>
    <r>
      <rPr>
        <sz val="11"/>
        <color theme="1"/>
        <rFont val="Calibri"/>
        <family val="2"/>
        <charset val="1"/>
      </rPr>
      <t xml:space="preserve">: if your polynomial regression expands </t>
    </r>
    <r>
      <rPr>
        <sz val="10"/>
        <color theme="1"/>
        <rFont val="Arial Unicode MS"/>
        <family val="2"/>
      </rPr>
      <t>L</t>
    </r>
    <r>
      <rPr>
        <sz val="11"/>
        <color theme="1"/>
        <rFont val="Calibri"/>
        <family val="2"/>
        <charset val="1"/>
      </rPr>
      <t xml:space="preserve"> into </t>
    </r>
    <r>
      <rPr>
        <sz val="10"/>
        <color theme="1"/>
        <rFont val="Arial Unicode MS"/>
        <family val="2"/>
      </rPr>
      <t>L, L², L³</t>
    </r>
    <r>
      <rPr>
        <sz val="11"/>
        <color theme="1"/>
        <rFont val="Calibri"/>
        <family val="2"/>
        <charset val="1"/>
      </rPr>
      <t xml:space="preserve">, you generally want SHAP values attributed back to the </t>
    </r>
    <r>
      <rPr>
        <i/>
        <sz val="11"/>
        <color theme="1"/>
        <rFont val="Calibri"/>
        <family val="2"/>
        <charset val="1"/>
      </rPr>
      <t>original</t>
    </r>
    <r>
      <rPr>
        <sz val="11"/>
        <color theme="1"/>
        <rFont val="Calibri"/>
        <family val="2"/>
        <charset val="1"/>
      </rPr>
      <t xml:space="preserve"> feature </t>
    </r>
    <r>
      <rPr>
        <sz val="10"/>
        <color theme="1"/>
        <rFont val="Arial Unicode MS"/>
        <family val="2"/>
      </rPr>
      <t>L</t>
    </r>
    <r>
      <rPr>
        <sz val="11"/>
        <color theme="1"/>
        <rFont val="Calibri"/>
        <family val="2"/>
        <charset val="1"/>
      </rPr>
      <t xml:space="preserve">, not treated as three separate "features." The cleanest way is to wrap the whole pipeline (transform + regress) into one prediction function and pass the </t>
    </r>
    <r>
      <rPr>
        <i/>
        <sz val="11"/>
        <color theme="1"/>
        <rFont val="Calibri"/>
        <family val="2"/>
        <charset val="1"/>
      </rPr>
      <t>original</t>
    </r>
    <r>
      <rPr>
        <sz val="11"/>
        <color theme="1"/>
        <rFont val="Calibri"/>
        <family val="2"/>
        <charset val="1"/>
      </rPr>
      <t xml:space="preserve"> feature matrix to </t>
    </r>
    <r>
      <rPr>
        <sz val="10"/>
        <color theme="1"/>
        <rFont val="Arial Unicode MS"/>
        <family val="2"/>
      </rPr>
      <t>KernelExplainer</t>
    </r>
    <r>
      <rPr>
        <sz val="11"/>
        <color theme="1"/>
        <rFont val="Calibri"/>
        <family val="2"/>
        <charset val="1"/>
      </rPr>
      <t xml:space="preserve"> — SHAP then treats the polynomial expansion as part of the black box, and you get one φ per original feature.</t>
    </r>
  </si>
  <si>
    <r>
      <t>In Python</t>
    </r>
    <r>
      <rPr>
        <sz val="11"/>
        <color theme="1"/>
        <rFont val="Calibri"/>
        <family val="2"/>
        <charset val="1"/>
      </rPr>
      <t xml:space="preserve"> (</t>
    </r>
    <r>
      <rPr>
        <sz val="10"/>
        <color theme="1"/>
        <rFont val="Arial Unicode MS"/>
        <family val="2"/>
      </rPr>
      <t>shap</t>
    </r>
    <r>
      <rPr>
        <sz val="11"/>
        <color theme="1"/>
        <rFont val="Calibri"/>
        <family val="2"/>
        <charset val="1"/>
      </rPr>
      <t xml:space="preserve"> library):</t>
    </r>
  </si>
  <si>
    <t>python</t>
  </si>
  <si>
    <r>
      <t>import</t>
    </r>
    <r>
      <rPr>
        <sz val="10"/>
        <color rgb="FF14181F"/>
        <rFont val="Var(--font-mono)"/>
      </rPr>
      <t xml:space="preserve"> shap</t>
    </r>
  </si>
  <si>
    <t># model = pipeline that does poly transform + regression internally</t>
  </si>
  <si>
    <r>
      <t>explainer = shap</t>
    </r>
    <r>
      <rPr>
        <sz val="10"/>
        <color rgb="FF2B303B"/>
        <rFont val="Var(--font-mono)"/>
      </rPr>
      <t>.</t>
    </r>
    <r>
      <rPr>
        <sz val="10"/>
        <color rgb="FF14181F"/>
        <rFont val="Var(--font-mono)"/>
      </rPr>
      <t>KernelExplainer</t>
    </r>
    <r>
      <rPr>
        <sz val="10"/>
        <color rgb="FF2B303B"/>
        <rFont val="Var(--font-mono)"/>
      </rPr>
      <t>(</t>
    </r>
    <r>
      <rPr>
        <sz val="10"/>
        <color rgb="FF14181F"/>
        <rFont val="Var(--font-mono)"/>
      </rPr>
      <t>model</t>
    </r>
    <r>
      <rPr>
        <sz val="10"/>
        <color rgb="FF2B303B"/>
        <rFont val="Var(--font-mono)"/>
      </rPr>
      <t>.</t>
    </r>
    <r>
      <rPr>
        <sz val="10"/>
        <color rgb="FF14181F"/>
        <rFont val="Var(--font-mono)"/>
      </rPr>
      <t>predict</t>
    </r>
    <r>
      <rPr>
        <sz val="10"/>
        <color rgb="FF2B303B"/>
        <rFont val="Var(--font-mono)"/>
      </rPr>
      <t>,</t>
    </r>
    <r>
      <rPr>
        <sz val="10"/>
        <color rgb="FF14181F"/>
        <rFont val="Var(--font-mono)"/>
      </rPr>
      <t xml:space="preserve"> X_background</t>
    </r>
    <r>
      <rPr>
        <sz val="10"/>
        <color rgb="FF2B303B"/>
        <rFont val="Var(--font-mono)"/>
      </rPr>
      <t>)</t>
    </r>
  </si>
  <si>
    <r>
      <t>shap_values = explainer</t>
    </r>
    <r>
      <rPr>
        <sz val="10"/>
        <color rgb="FF2B303B"/>
        <rFont val="Var(--font-mono)"/>
      </rPr>
      <t>.</t>
    </r>
    <r>
      <rPr>
        <sz val="10"/>
        <color rgb="FF14181F"/>
        <rFont val="Var(--font-mono)"/>
      </rPr>
      <t>shap_values</t>
    </r>
    <r>
      <rPr>
        <sz val="10"/>
        <color rgb="FF2B303B"/>
        <rFont val="Var(--font-mono)"/>
      </rPr>
      <t>(</t>
    </r>
    <r>
      <rPr>
        <sz val="10"/>
        <color rgb="FF14181F"/>
        <rFont val="Var(--font-mono)"/>
      </rPr>
      <t>X_instance</t>
    </r>
    <r>
      <rPr>
        <sz val="10"/>
        <color rgb="FF2B303B"/>
        <rFont val="Var(--font-mono)"/>
      </rPr>
      <t>)</t>
    </r>
  </si>
  <si>
    <r>
      <t>In R</t>
    </r>
    <r>
      <rPr>
        <sz val="11"/>
        <color theme="1"/>
        <rFont val="Calibri"/>
        <family val="2"/>
        <charset val="1"/>
      </rPr>
      <t xml:space="preserve">: </t>
    </r>
    <r>
      <rPr>
        <sz val="10"/>
        <color theme="1"/>
        <rFont val="Arial Unicode MS"/>
        <family val="2"/>
      </rPr>
      <t>kernelshap</t>
    </r>
    <r>
      <rPr>
        <sz val="11"/>
        <color theme="1"/>
        <rFont val="Calibri"/>
        <family val="2"/>
        <charset val="1"/>
      </rPr>
      <t xml:space="preserve"> or </t>
    </r>
    <r>
      <rPr>
        <sz val="10"/>
        <color theme="1"/>
        <rFont val="Arial Unicode MS"/>
        <family val="2"/>
      </rPr>
      <t>fastshap</t>
    </r>
    <r>
      <rPr>
        <sz val="11"/>
        <color theme="1"/>
        <rFont val="Calibri"/>
        <family val="2"/>
        <charset val="1"/>
      </rPr>
      <t xml:space="preserve"> work the same way — pass a </t>
    </r>
    <r>
      <rPr>
        <sz val="10"/>
        <color theme="1"/>
        <rFont val="Arial Unicode MS"/>
        <family val="2"/>
      </rPr>
      <t>predict()</t>
    </r>
    <r>
      <rPr>
        <sz val="11"/>
        <color theme="1"/>
        <rFont val="Calibri"/>
        <family val="2"/>
        <charset val="1"/>
      </rPr>
      <t xml:space="preserve"> wrapper around your </t>
    </r>
    <r>
      <rPr>
        <sz val="10"/>
        <color theme="1"/>
        <rFont val="Arial Unicode MS"/>
        <family val="2"/>
      </rPr>
      <t>lm(y ~ poly(x1,2) + poly(x2,2) + ...)</t>
    </r>
    <r>
      <rPr>
        <sz val="11"/>
        <color theme="1"/>
        <rFont val="Calibri"/>
        <family val="2"/>
        <charset val="1"/>
      </rPr>
      <t xml:space="preserve"> model, using the original (unexpanded) feature columns as input.</t>
    </r>
  </si>
  <si>
    <r>
      <t>Caveat</t>
    </r>
    <r>
      <rPr>
        <sz val="11"/>
        <color theme="1"/>
        <rFont val="Calibri"/>
        <family val="2"/>
        <charset val="1"/>
      </rPr>
      <t xml:space="preserve">: because polynomial regression can have strong collinearity between </t>
    </r>
    <r>
      <rPr>
        <sz val="10"/>
        <color theme="1"/>
        <rFont val="Arial Unicode MS"/>
        <family val="2"/>
      </rPr>
      <t>x</t>
    </r>
    <r>
      <rPr>
        <sz val="11"/>
        <color theme="1"/>
        <rFont val="Calibri"/>
        <family val="2"/>
        <charset val="1"/>
      </rPr>
      <t xml:space="preserve"> and </t>
    </r>
    <r>
      <rPr>
        <sz val="10"/>
        <color theme="1"/>
        <rFont val="Arial Unicode MS"/>
        <family val="2"/>
      </rPr>
      <t>x²</t>
    </r>
    <r>
      <rPr>
        <sz val="11"/>
        <color theme="1"/>
        <rFont val="Calibri"/>
        <family val="2"/>
        <charset val="1"/>
      </rPr>
      <t>, KernelSHAP's independence assumption (it samples "missing" features from the marginal distribution) can be a bit off — the results are still meaningful but treat them as approximate, especially with few data points like your loan dataset.</t>
    </r>
  </si>
  <si>
    <t>Want me to add a polynomial-regression version to the Excel workbook, or is this for a separate exercise?</t>
  </si>
  <si>
    <t>L = ICA</t>
  </si>
  <si>
    <t>A</t>
  </si>
  <si>
    <t xml:space="preserve">Loan </t>
  </si>
  <si>
    <t>Income</t>
  </si>
  <si>
    <t>Credit Score</t>
  </si>
  <si>
    <t>A(hat)</t>
  </si>
  <si>
    <t>Good question — let me clarify the terminology, since two different things are both called "baseline-ish" in that sheet, and it's easy to mix them up.</t>
  </si>
  <si>
    <r>
      <t>The instance</t>
    </r>
    <r>
      <rPr>
        <sz val="11"/>
        <color theme="1"/>
        <rFont val="Calibri"/>
        <family val="2"/>
        <charset val="1"/>
      </rPr>
      <t xml:space="preserve"> = the specific applicant you want to explain: Row 2 (L=$15,000, I=$60,000, C=680, Approval=40%). I picked Row 2 somewhat arbitrarily as a worked example — nothing special about it except it has a noticeably low approval, so it's an interesting case to break down feature-by-feature.</t>
    </r>
  </si>
  <si>
    <r>
      <t>The baseline (v(∅))</t>
    </r>
    <r>
      <rPr>
        <sz val="11"/>
        <color theme="1"/>
        <rFont val="Calibri"/>
        <family val="2"/>
        <charset val="1"/>
      </rPr>
      <t xml:space="preserve"> = the reference point used to represent "no information" — i.e., what the model predicts when </t>
    </r>
    <r>
      <rPr>
        <i/>
        <sz val="11"/>
        <color theme="1"/>
        <rFont val="Calibri"/>
        <family val="2"/>
        <charset val="1"/>
      </rPr>
      <t>none</t>
    </r>
    <r>
      <rPr>
        <sz val="11"/>
        <color theme="1"/>
        <rFont val="Calibri"/>
        <family val="2"/>
        <charset val="1"/>
      </rPr>
      <t xml:space="preserve"> of the features are known. Since we don't have a real simulator to ask "what if we didn't know L,I,C," the standard trick is to plug in the </t>
    </r>
    <r>
      <rPr>
        <b/>
        <sz val="11"/>
        <color theme="1"/>
        <rFont val="Calibri"/>
        <family val="2"/>
        <charset val="1"/>
      </rPr>
      <t>average</t>
    </r>
    <r>
      <rPr>
        <sz val="11"/>
        <color theme="1"/>
        <rFont val="Calibri"/>
        <family val="2"/>
        <charset val="1"/>
      </rPr>
      <t xml:space="preserve"> L, I, C across the whole dataset instead. That's the "Mean" row on the Dataset sheet — it's not Row 2, it's the average of all 5 rows.</t>
    </r>
  </si>
  <si>
    <t>Why the two get combined in the v(S) table:</t>
  </si>
  <si>
    <r>
      <t xml:space="preserve">Shapley values work by asking: "for every possible subset S of features that are 'known,' what does the model predict?" For features </t>
    </r>
    <r>
      <rPr>
        <i/>
        <sz val="11"/>
        <color theme="1"/>
        <rFont val="Calibri"/>
        <family val="2"/>
        <charset val="1"/>
      </rPr>
      <t>not</t>
    </r>
    <r>
      <rPr>
        <sz val="11"/>
        <color theme="1"/>
        <rFont val="Calibri"/>
        <family val="2"/>
        <charset val="1"/>
      </rPr>
      <t xml:space="preserve"> in S, we don't get to leave them blank — a model needs a number for every feature — so we substitute the dataset mean as a stand-in for "unknown."</t>
    </r>
  </si>
  <si>
    <t>So when you see, say, subset {L}: that row's v(S) uses Row 2's actual L=$15,000 (because L is "known" in that coalition) but the dataset mean for I and C (because they're "unknown" in that coalition). It's a blend of Row 2's real values (for included features) and dataset means (for excluded features) — never Row 2 acting as the baseline itself.</t>
  </si>
  <si>
    <t>The full coalition {L,I,C} (last row of the table) uses Row 2's actual values for all three — that's how you recover the real model prediction, 31.83%, at one end. The empty coalition {} uses the mean for all three — that's the baseline, 59.0%, at the other end. Shapley values are just how you fairly split that 59.0% → 31.83% gap across L, I, and C.</t>
  </si>
  <si>
    <t>ok !</t>
  </si>
  <si>
    <t>Sounds good — let me know if anything else comes up while you're going through it. 🙏</t>
  </si>
  <si>
    <t>Want to be notified when Claude responds?</t>
  </si>
  <si>
    <r>
      <t xml:space="preserve">Row 2 is </t>
    </r>
    <r>
      <rPr>
        <b/>
        <i/>
        <sz val="14"/>
        <color rgb="FFFF0000"/>
        <rFont val="Calibri"/>
        <family val="2"/>
        <charset val="1"/>
      </rPr>
      <t>not</t>
    </r>
    <r>
      <rPr>
        <b/>
        <sz val="14"/>
        <color rgb="FFFF0000"/>
        <rFont val="Calibri"/>
        <family val="2"/>
        <charset val="1"/>
      </rPr>
      <t xml:space="preserve"> the baseline — it's the instance being explained.</t>
    </r>
  </si>
  <si>
    <t>my_v(S)</t>
  </si>
  <si>
    <t>A(hat) for Row_2</t>
  </si>
  <si>
    <t xml:space="preserve">                                 Should equal model prediction f(15000,60000,680) =</t>
  </si>
  <si>
    <r>
      <t>!jupytext --to notebook E</t>
    </r>
    <r>
      <rPr>
        <sz val="11"/>
        <color rgb="FF2B303B"/>
        <rFont val="Calibri"/>
        <family val="2"/>
        <charset val="1"/>
      </rPr>
      <t>:\</t>
    </r>
    <r>
      <rPr>
        <sz val="11"/>
        <color theme="1"/>
        <rFont val="Calibri"/>
        <family val="2"/>
        <charset val="1"/>
      </rPr>
      <t>data_science\Udemy_Course_1\</t>
    </r>
  </si>
  <si>
    <t>From PowerShell/Anaconda Prompt (recommended for a big batch)</t>
  </si>
  <si>
    <t>powershell</t>
  </si>
  <si>
    <t>jupytext --to notebook *.py</t>
  </si>
  <si>
    <r>
      <t>!jupytext --to notebook E</t>
    </r>
    <r>
      <rPr>
        <sz val="10"/>
        <color rgb="FF2B303B"/>
        <rFont val="Var(--font-mono)"/>
      </rPr>
      <t>:\</t>
    </r>
    <r>
      <rPr>
        <sz val="10"/>
        <color rgb="FF14181F"/>
        <rFont val="Var(--font-mono)"/>
      </rPr>
      <t>data_science\Udemy_Course_1\scripts\*.py</t>
    </r>
  </si>
  <si>
    <t>Distance/margin-based (no probability model at all)</t>
  </si>
  <si>
    <r>
      <t>k-Nearest Neighbors (KNN)</t>
    </r>
    <r>
      <rPr>
        <sz val="11"/>
        <color theme="1"/>
        <rFont val="Calibri"/>
        <family val="2"/>
        <charset val="1"/>
      </rPr>
      <t xml:space="preserve"> — no training or optimization; classify by majority vote of nearest points. No likelihood involved.</t>
    </r>
  </si>
  <si>
    <r>
      <t>Support Vector Machine (SVM)</t>
    </r>
    <r>
      <rPr>
        <sz val="11"/>
        <color theme="1"/>
        <rFont val="Calibri"/>
        <family val="2"/>
        <charset val="1"/>
      </rPr>
      <t xml:space="preserve"> — instead of maximizing likelihood, it maximizes the margin between classes; solved as a convex optimization (quadratic programming) minimizing </t>
    </r>
    <r>
      <rPr>
        <b/>
        <sz val="11"/>
        <color theme="1"/>
        <rFont val="Calibri"/>
        <family val="2"/>
        <charset val="1"/>
      </rPr>
      <t>hinge loss</t>
    </r>
    <r>
      <rPr>
        <sz val="11"/>
        <color theme="1"/>
        <rFont val="Calibri"/>
        <family val="2"/>
        <charset val="1"/>
      </rPr>
      <t>, not log-loss.</t>
    </r>
  </si>
  <si>
    <r>
      <t>Perceptron</t>
    </r>
    <r>
      <rPr>
        <sz val="11"/>
        <color theme="1"/>
        <rFont val="Calibri"/>
        <family val="2"/>
        <charset val="1"/>
      </rPr>
      <t xml:space="preserve"> — the original linear classifier; updates weights only when a point is misclassified (error-driven), no probability, no likelihood function at all.</t>
    </r>
  </si>
  <si>
    <r>
      <t>Nearest Centroid Classifier</t>
    </r>
    <r>
      <rPr>
        <sz val="11"/>
        <color theme="1"/>
        <rFont val="Calibri"/>
        <family val="2"/>
        <charset val="1"/>
      </rPr>
      <t xml:space="preserve"> — classify a point based on which class mean it's closest to.</t>
    </r>
  </si>
  <si>
    <t>Closed-form statistical (not iterative MLE)</t>
  </si>
  <si>
    <r>
      <t>Linear Discriminant Analysis (LDA)</t>
    </r>
    <r>
      <rPr>
        <sz val="11"/>
        <color theme="1"/>
        <rFont val="Calibri"/>
        <family val="2"/>
        <charset val="1"/>
      </rPr>
      <t xml:space="preserve"> — assumes each class is Gaussian-distributed and finds the linear boundary that best separates class means relative to within-class variance. Solved directly via means/covariance matrices (eigen-decomposition), not iterative gradient-based MLE like logistic regression.</t>
    </r>
  </si>
  <si>
    <r>
      <t>Least-squares classification</t>
    </r>
    <r>
      <rPr>
        <sz val="11"/>
        <color theme="1"/>
        <rFont val="Calibri"/>
        <family val="2"/>
        <charset val="1"/>
      </rPr>
      <t xml:space="preserve"> — treat class labels (0/1) as a regression target and fit ordinary least squares directly; classify by thresholding the predicted value. (This is essentially what you were describing earlier — legitimate, just has known weaknesses versus logistic regression.)</t>
    </r>
  </si>
  <si>
    <t>Others worth knowing</t>
  </si>
  <si>
    <r>
      <t>Naive Bayes</t>
    </r>
    <r>
      <rPr>
        <sz val="11"/>
        <color theme="1"/>
        <rFont val="Calibri"/>
        <family val="2"/>
        <charset val="1"/>
      </rPr>
      <t xml:space="preserve"> — technically still uses probability/Bayes' theorem, but parameters are estimated by simple frequency counts, not iterative log-likelihood optimization.</t>
    </r>
  </si>
  <si>
    <r>
      <t>Neural network with hinge loss</t>
    </r>
    <r>
      <rPr>
        <sz val="11"/>
        <color theme="1"/>
        <rFont val="Calibri"/>
        <family val="2"/>
        <charset val="1"/>
      </rPr>
      <t xml:space="preserve"> — same network architecture as logistic-loss networks, but swap the loss function to hinge loss (SVM-style) instead of cross-entropy.</t>
    </r>
  </si>
  <si>
    <r>
      <t xml:space="preserve">If your exam is likely to test </t>
    </r>
    <r>
      <rPr>
        <b/>
        <sz val="11"/>
        <color theme="1"/>
        <rFont val="Calibri"/>
        <family val="2"/>
        <charset val="1"/>
      </rPr>
      <t>SVM</t>
    </r>
    <r>
      <rPr>
        <sz val="11"/>
        <color theme="1"/>
        <rFont val="Calibri"/>
        <family val="2"/>
        <charset val="1"/>
      </rPr>
      <t xml:space="preserve"> and </t>
    </r>
    <r>
      <rPr>
        <b/>
        <sz val="11"/>
        <color theme="1"/>
        <rFont val="Calibri"/>
        <family val="2"/>
        <charset val="1"/>
      </rPr>
      <t>LDA</t>
    </r>
    <r>
      <rPr>
        <sz val="11"/>
        <color theme="1"/>
        <rFont val="Calibri"/>
        <family val="2"/>
        <charset val="1"/>
      </rPr>
      <t xml:space="preserve"> specifically (very common pairing with logistic regression in DS curricula), those are the two I'd prioritize studying — they're the standard "alternative to logistic regression" answers in most textbooks and are conceptually distinct (margin-based vs. Gaussian-distribution-based) rather than variations on the same idea.</t>
    </r>
  </si>
  <si>
    <t>Depends on which "equal distance" you mean — there are two different scenarios that come up:</t>
  </si>
  <si>
    <r>
      <t xml:space="preserve">1. Two </t>
    </r>
    <r>
      <rPr>
        <b/>
        <i/>
        <sz val="11"/>
        <color theme="1"/>
        <rFont val="Calibri"/>
        <family val="2"/>
        <charset val="1"/>
      </rPr>
      <t>training</t>
    </r>
    <r>
      <rPr>
        <b/>
        <sz val="11"/>
        <color theme="1"/>
        <rFont val="Calibri"/>
        <family val="2"/>
        <charset val="1"/>
      </rPr>
      <t xml:space="preserve"> points equidistant from the hyperplane (tied as support vectors)</t>
    </r>
  </si>
  <si>
    <r>
      <t xml:space="preserve">This isn't a problem at all — it's actually the normal, expected case. The max-margin hyperplane is found by solving a convex optimization (quadratic programming) that maximizes the margin width. It's totally common for </t>
    </r>
    <r>
      <rPr>
        <b/>
        <sz val="11"/>
        <color theme="1"/>
        <rFont val="Calibri"/>
        <family val="2"/>
        <charset val="1"/>
      </rPr>
      <t>multiple points from each class</t>
    </r>
    <r>
      <rPr>
        <sz val="11"/>
        <color theme="1"/>
        <rFont val="Calibri"/>
        <family val="2"/>
        <charset val="1"/>
      </rPr>
      <t xml:space="preserve"> to land exactly on the margin boundary simultaneously — they all just become support vectors together. There's no "tie-break" needed; the optimizer doesn't pick one over the other, it finds the </t>
    </r>
    <r>
      <rPr>
        <i/>
        <sz val="11"/>
        <color theme="1"/>
        <rFont val="Calibri"/>
        <family val="2"/>
        <charset val="1"/>
      </rPr>
      <t>single unique hyperplane</t>
    </r>
    <r>
      <rPr>
        <sz val="11"/>
        <color theme="1"/>
        <rFont val="Calibri"/>
        <family val="2"/>
        <charset val="1"/>
      </rPr>
      <t xml:space="preserve"> that satisfies the max-margin condition for all of them at once. In your image, if two red points both touch the left dashed margin line, both are support vectors — no conflict.</t>
    </r>
  </si>
  <si>
    <r>
      <t xml:space="preserve">2. A </t>
    </r>
    <r>
      <rPr>
        <b/>
        <i/>
        <sz val="11"/>
        <color theme="1"/>
        <rFont val="Calibri"/>
        <family val="2"/>
        <charset val="1"/>
      </rPr>
      <t>test</t>
    </r>
    <r>
      <rPr>
        <b/>
        <sz val="11"/>
        <color theme="1"/>
        <rFont val="Calibri"/>
        <family val="2"/>
        <charset val="1"/>
      </rPr>
      <t xml:space="preserve"> point sitting exactly ON the hyperplane itself (zero distance, truly ambiguous)</t>
    </r>
  </si>
  <si>
    <r>
      <t xml:space="preserve">This is the genuinely ambiguous case — the point is equidistant from </t>
    </r>
    <r>
      <rPr>
        <i/>
        <sz val="11"/>
        <color theme="1"/>
        <rFont val="Calibri"/>
        <family val="2"/>
        <charset val="1"/>
      </rPr>
      <t>both classes</t>
    </r>
    <r>
      <rPr>
        <sz val="11"/>
        <color theme="1"/>
        <rFont val="Calibri"/>
        <family val="2"/>
        <charset val="1"/>
      </rPr>
      <t xml:space="preserve">, not just tied with another point. SVM's decision function is </t>
    </r>
    <r>
      <rPr>
        <sz val="10"/>
        <color theme="1"/>
        <rFont val="Arial Unicode MS"/>
        <family val="2"/>
      </rPr>
      <t>sign(w·x + b)</t>
    </r>
    <r>
      <rPr>
        <sz val="11"/>
        <color theme="1"/>
        <rFont val="Calibri"/>
        <family val="2"/>
        <charset val="1"/>
      </rPr>
      <t>:</t>
    </r>
  </si>
  <si>
    <t>distance &gt; 0 → Class A</t>
  </si>
  <si>
    <t>distance &lt; 0 → Class B</t>
  </si>
  <si>
    <t>distance = 0 → undefined (sign(0) is typically just assigned to one class by convention, often the positive class)</t>
  </si>
  <si>
    <t>In practice this almost never happens exactly with real-valued continuous features — it's a measure-zero event. If it's a genuine concern for your use case (e.g., safety-critical decisions), the usual real-world handling isn't a "rule" but a different tool entirely:</t>
  </si>
  <si>
    <r>
      <t>Platt scaling</t>
    </r>
    <r>
      <rPr>
        <sz val="11"/>
        <color theme="1"/>
        <rFont val="Calibri"/>
        <family val="2"/>
        <charset val="1"/>
      </rPr>
      <t xml:space="preserve"> — calibrate SVM outputs into actual probabilities, so instead of a hard 0/1 call you get something like "51% vs 49%" and can flag it as low-confidence</t>
    </r>
  </si>
  <si>
    <r>
      <t>Reject option / abstention</t>
    </r>
    <r>
      <rPr>
        <sz val="11"/>
        <color theme="1"/>
        <rFont val="Calibri"/>
        <family val="2"/>
        <charset val="1"/>
      </rPr>
      <t xml:space="preserve"> — if the point is within some ε of the hyperplane, decline to classify and route it for manual review instead of forcing a guess</t>
    </r>
  </si>
  <si>
    <t>So: ties among support vectors → not an issue, expected behavior. A test point exactly on the boundary → arbitrary convention, or better, treat it as low-confidence rather than force a hard call.</t>
  </si>
  <si>
    <r>
      <t>What "margin" means:</t>
    </r>
    <r>
      <rPr>
        <sz val="11"/>
        <color theme="1"/>
        <rFont val="Calibri"/>
        <family val="2"/>
        <charset val="1"/>
      </rPr>
      <t xml:space="preserve"> the perpendicular distance between the hyperplane and the nearest point(s) from either class — those nearest points are the support vectors. "Margin width" usually refers to the </t>
    </r>
    <r>
      <rPr>
        <i/>
        <sz val="11"/>
        <color theme="1"/>
        <rFont val="Calibri"/>
        <family val="2"/>
        <charset val="1"/>
      </rPr>
      <t>total</t>
    </r>
    <r>
      <rPr>
        <sz val="11"/>
        <color theme="1"/>
        <rFont val="Calibri"/>
        <family val="2"/>
        <charset val="1"/>
      </rPr>
      <t xml:space="preserve"> gap between the two dashed lines in your image (one dashed line touching the nearest red point, the other touching the nearest grey point) — i.e., the width of the "no-man's-land" separating the classes.</t>
    </r>
  </si>
  <si>
    <r>
      <t>The math:</t>
    </r>
    <r>
      <rPr>
        <sz val="11"/>
        <color theme="1"/>
        <rFont val="Calibri"/>
        <family val="2"/>
        <charset val="1"/>
      </rPr>
      <t xml:space="preserve"> for hyperplane w·x + b = 0, the distance from any point x to it is |w·x+b| / ‖w‖. The two support vectors (one per class) sit at distance 1/‖w‖ from the hyperplane on each side (after scaling w,b so the closest points satisfy w·x+b = ±1). So:</t>
    </r>
  </si>
  <si>
    <t>Margin (each side) = 1/‖w‖</t>
  </si>
  <si>
    <t>Total margin width = 2/‖w‖</t>
  </si>
  <si>
    <r>
      <t>Why this matters — it's the whole objective of SVM training:</t>
    </r>
    <r>
      <rPr>
        <sz val="11"/>
        <color theme="1"/>
        <rFont val="Calibri"/>
        <family val="2"/>
        <charset val="1"/>
      </rPr>
      <t xml:space="preserve"> SVM doesn't just find </t>
    </r>
    <r>
      <rPr>
        <i/>
        <sz val="11"/>
        <color theme="1"/>
        <rFont val="Calibri"/>
        <family val="2"/>
        <charset val="1"/>
      </rPr>
      <t>any</t>
    </r>
    <r>
      <rPr>
        <sz val="11"/>
        <color theme="1"/>
        <rFont val="Calibri"/>
        <family val="2"/>
        <charset val="1"/>
      </rPr>
      <t xml:space="preserve"> separating line — it specifically maximizes 2/‖w‖, which is the same as </t>
    </r>
    <r>
      <rPr>
        <b/>
        <sz val="11"/>
        <color theme="1"/>
        <rFont val="Calibri"/>
        <family val="2"/>
        <charset val="1"/>
      </rPr>
      <t>minimizing ‖w‖</t>
    </r>
    <r>
      <rPr>
        <sz val="11"/>
        <color theme="1"/>
        <rFont val="Calibri"/>
        <family val="2"/>
        <charset val="1"/>
      </rPr>
      <t xml:space="preserve"> (or equivalently ‖w‖², used in practice since it's smoother for optimization), subject to every point being correctly classified with at least that margin. That's the actual optimization problem being solved:</t>
    </r>
  </si>
  <si>
    <t>minimize ½‖w‖² subject to yᵢ(w·xᵢ + b) ≥ 1 for all points i</t>
  </si>
  <si>
    <r>
      <t>Why maximize the margin at all (intuition):</t>
    </r>
    <r>
      <rPr>
        <sz val="11"/>
        <color theme="1"/>
        <rFont val="Calibri"/>
        <family val="2"/>
        <charset val="1"/>
      </rPr>
      <t xml:space="preserve"> a wider margin means the boundary sits as far as possible from both classes, which generally generalizes better to new/unseen points — a decision boundary squeezed tight against training points is more sensitive to noise and small perturbations.</t>
    </r>
  </si>
  <si>
    <r>
      <t>Soft margin (real-world case):</t>
    </r>
    <r>
      <rPr>
        <sz val="11"/>
        <color theme="1"/>
        <rFont val="Calibri"/>
        <family val="2"/>
        <charset val="1"/>
      </rPr>
      <t xml:space="preserve"> when data isn't perfectly separable (or you don't want to overfit to outliers), SVM allows some points to violate the margin, controlled by a penalty parameter </t>
    </r>
    <r>
      <rPr>
        <b/>
        <sz val="11"/>
        <color theme="1"/>
        <rFont val="Calibri"/>
        <family val="2"/>
        <charset val="1"/>
      </rPr>
      <t>C</t>
    </r>
    <r>
      <rPr>
        <sz val="11"/>
        <color theme="1"/>
        <rFont val="Calibri"/>
        <family val="2"/>
        <charset val="1"/>
      </rPr>
      <t>:</t>
    </r>
  </si>
  <si>
    <t>Large C → narrow margin, few violations tolerated → fits training data tightly (risk of overfitting)</t>
  </si>
  <si>
    <t>Small C → wider margin, more violations tolerated → more tolerant of noise/outliers (risk of underfitting)</t>
  </si>
  <si>
    <t>This C vs. margin-width tradeoff is a very common exam question alongside the hard-margin formula, so worth knowing both.</t>
  </si>
  <si>
    <t>Do u get any instances where mathematician initially minimize the margin width during optimization &amp; then use penalty 🤔 parameter C in just reverse order !</t>
  </si>
  <si>
    <r>
      <t xml:space="preserve">No — minimizing margin width isn't something that appears in any standard SVM formulation, and there's a good reason: if you minimized ‖w‖... wait, actually if you tried to </t>
    </r>
    <r>
      <rPr>
        <i/>
        <sz val="11"/>
        <color theme="1"/>
        <rFont val="Calibri"/>
        <family val="2"/>
        <charset val="1"/>
      </rPr>
      <t>minimize</t>
    </r>
    <r>
      <rPr>
        <sz val="11"/>
        <color theme="1"/>
        <rFont val="Calibri"/>
        <family val="2"/>
        <charset val="1"/>
      </rPr>
      <t xml:space="preserve"> the margin (i.e., make it as small as possible), the trivial "solution" would be to shrink it to zero — squeeze the hyperplane right up against the data with no separation at all. That's a degenerate, useless boundary, not something anyone optimizes for. So there's no legitimate formulation built around minimizing margin width as the objective.</t>
    </r>
  </si>
  <si>
    <r>
      <t xml:space="preserve">What you might be sensing, though, is a genuine reordering/reparametrization that </t>
    </r>
    <r>
      <rPr>
        <i/>
        <sz val="11"/>
        <color theme="1"/>
        <rFont val="Calibri"/>
        <family val="2"/>
        <charset val="1"/>
      </rPr>
      <t>does</t>
    </r>
    <r>
      <rPr>
        <sz val="11"/>
        <color theme="1"/>
        <rFont val="Calibri"/>
        <family val="2"/>
        <charset val="1"/>
      </rPr>
      <t xml:space="preserve"> exist:</t>
    </r>
  </si>
  <si>
    <t>1. The equivalent "hinge loss + regularization" view (same problem, different emphasis)</t>
  </si>
  <si>
    <t>Instead of writing it as "minimize ‖w‖² subject to margin constraints, with C penalizing violations," it's often rewritten as an unconstrained loss-minimization problem:</t>
  </si>
  <si>
    <t>minimize: C · Σ max(0, 1 − yᵢ(w·xᵢ+b)) + ½‖w‖²</t>
  </si>
  <si>
    <r>
      <t xml:space="preserve">Here the </t>
    </r>
    <r>
      <rPr>
        <b/>
        <sz val="11"/>
        <color theme="1"/>
        <rFont val="Calibri"/>
        <family val="2"/>
        <charset val="1"/>
      </rPr>
      <t>penalty term comes first</t>
    </r>
    <r>
      <rPr>
        <sz val="11"/>
        <color theme="1"/>
        <rFont val="Calibri"/>
        <family val="2"/>
        <charset val="1"/>
      </rPr>
      <t xml:space="preserve"> and the margin-width term (‖w‖²) reads more like a secondary regularizer tacked on at the end — the opposite visual order from what you're used to, even though it's mathematically identical to the standard formulation. This is the formulation most machine learning textbooks (as opposed to pure optimization textbooks) actually use, since it matches the "loss + regularization" pattern used everywhere else in ML (ridge regression, logistic regression, etc.).</t>
    </r>
  </si>
  <si>
    <t>2. ν-SVM (nu-SVM) — a genuinely different reparametrization</t>
  </si>
  <si>
    <r>
      <t xml:space="preserve">Schölkopf's ν-SVM replaces C with a parameter ν ∈ (0,1) that has a cleaner interpretation: it directly controls an </t>
    </r>
    <r>
      <rPr>
        <i/>
        <sz val="11"/>
        <color theme="1"/>
        <rFont val="Calibri"/>
        <family val="2"/>
        <charset val="1"/>
      </rPr>
      <t>upper bound on the fraction of margin errors</t>
    </r>
    <r>
      <rPr>
        <sz val="11"/>
        <color theme="1"/>
        <rFont val="Calibri"/>
        <family val="2"/>
        <charset val="1"/>
      </rPr>
      <t xml:space="preserve"> and a </t>
    </r>
    <r>
      <rPr>
        <i/>
        <sz val="11"/>
        <color theme="1"/>
        <rFont val="Calibri"/>
        <family val="2"/>
        <charset val="1"/>
      </rPr>
      <t>lower bound on the fraction of support vectors</t>
    </r>
    <r>
      <rPr>
        <sz val="11"/>
        <color theme="1"/>
        <rFont val="Calibri"/>
        <family val="2"/>
        <charset val="1"/>
      </rPr>
      <t xml:space="preserve">. The optimization here actually </t>
    </r>
    <r>
      <rPr>
        <b/>
        <sz val="11"/>
        <color theme="1"/>
        <rFont val="Calibri"/>
        <family val="2"/>
        <charset val="1"/>
      </rPr>
      <t>includes the margin (ρ) as a variable to maximize jointly with minimizing ‖w‖</t>
    </r>
    <r>
      <rPr>
        <sz val="11"/>
        <color theme="1"/>
        <rFont val="Calibri"/>
        <family val="2"/>
        <charset val="1"/>
      </rPr>
      <t>, and ν trades off against ρ rather than against a fixed slack penalty:</t>
    </r>
  </si>
  <si>
    <t>minimize: ½‖w‖² − ν·ρ + (1/n)Σξᵢ, subject to yᵢ(w·xᵢ+b) ≥ ρ−ξᵢ</t>
  </si>
  <si>
    <t>This is closer to what you might be imagining — margin (ρ) shows up explicitly in the objective being traded off, rather than sitting only in the constraints. It's less commonly taught than plain C-SVM but shows up in more advanced ML courses.</t>
  </si>
  <si>
    <r>
      <t xml:space="preserve">So: no legitimate "minimize margin" objective exists, but there are real alternate formulations (hinge-loss-first view, ν-SVM) where the </t>
    </r>
    <r>
      <rPr>
        <i/>
        <sz val="11"/>
        <color theme="1"/>
        <rFont val="Calibri"/>
        <family val="2"/>
        <charset val="1"/>
      </rPr>
      <t>order of terms</t>
    </r>
    <r>
      <rPr>
        <sz val="11"/>
        <color theme="1"/>
        <rFont val="Calibri"/>
        <family val="2"/>
        <charset val="1"/>
      </rPr>
      <t xml:space="preserve"> or the </t>
    </r>
    <r>
      <rPr>
        <i/>
        <sz val="11"/>
        <color theme="1"/>
        <rFont val="Calibri"/>
        <family val="2"/>
        <charset val="1"/>
      </rPr>
      <t>role of the trade-off parameter</t>
    </r>
    <r>
      <rPr>
        <sz val="11"/>
        <color theme="1"/>
        <rFont val="Calibri"/>
        <family val="2"/>
        <charset val="1"/>
      </rPr>
      <t xml:space="preserve"> looks reversed from the textbook-standard presentation.</t>
    </r>
  </si>
  <si>
    <t>(it will open *.py file in the above path/directory</t>
  </si>
  <si>
    <t>jupyter notebook</t>
  </si>
  <si>
    <t>Option 3: Change the default notebook directory permanently</t>
  </si>
  <si>
    <t>If you always want Jupyter to start on E:, edit the config:</t>
  </si>
  <si>
    <t>cmd</t>
  </si>
  <si>
    <t>jupyter notebook --generate-config</t>
  </si>
  <si>
    <r>
      <t xml:space="preserve">This creates </t>
    </r>
    <r>
      <rPr>
        <sz val="10"/>
        <color theme="1"/>
        <rFont val="Arial Unicode MS"/>
        <family val="2"/>
      </rPr>
      <t>jupyter_notebook_config.py</t>
    </r>
    <r>
      <rPr>
        <sz val="11"/>
        <color theme="1"/>
        <rFont val="Calibri"/>
        <family val="2"/>
        <charset val="1"/>
      </rPr>
      <t xml:space="preserve"> (usually in </t>
    </r>
    <r>
      <rPr>
        <sz val="10"/>
        <color theme="1"/>
        <rFont val="Arial Unicode MS"/>
        <family val="2"/>
      </rPr>
      <t>C:\Users\&lt;you&gt;\.jupyter\</t>
    </r>
    <r>
      <rPr>
        <sz val="11"/>
        <color theme="1"/>
        <rFont val="Calibri"/>
        <family val="2"/>
        <charset val="1"/>
      </rPr>
      <t>). Open it and find/set:</t>
    </r>
  </si>
  <si>
    <r>
      <t>c</t>
    </r>
    <r>
      <rPr>
        <sz val="10"/>
        <color rgb="FF2B303B"/>
        <rFont val="Var(--font-mono)"/>
      </rPr>
      <t>.</t>
    </r>
    <r>
      <rPr>
        <sz val="10"/>
        <color rgb="FF14181F"/>
        <rFont val="Var(--font-mono)"/>
      </rPr>
      <t>NotebookApp</t>
    </r>
    <r>
      <rPr>
        <sz val="10"/>
        <color rgb="FF2B303B"/>
        <rFont val="Var(--font-mono)"/>
      </rPr>
      <t>.</t>
    </r>
    <r>
      <rPr>
        <sz val="10"/>
        <color rgb="FF14181F"/>
        <rFont val="Var(--font-mono)"/>
      </rPr>
      <t xml:space="preserve">notebook_dir = </t>
    </r>
    <r>
      <rPr>
        <sz val="10"/>
        <color rgb="FF008000"/>
        <rFont val="Var(--font-mono)"/>
      </rPr>
      <t>'E:/your/folder/path'</t>
    </r>
  </si>
  <si>
    <t>c.NotebookApp.notebook_dir = 'E:/your/folder/path'</t>
  </si>
  <si>
    <r>
      <t xml:space="preserve">This creates </t>
    </r>
    <r>
      <rPr>
        <sz val="10"/>
        <color rgb="FFFF0000"/>
        <rFont val="Arial Unicode MS"/>
        <family val="2"/>
      </rPr>
      <t>jupyter_notebook_config.py</t>
    </r>
    <r>
      <rPr>
        <sz val="11"/>
        <color rgb="FFFF0000"/>
        <rFont val="Calibri"/>
        <family val="2"/>
        <charset val="1"/>
      </rPr>
      <t/>
    </r>
  </si>
  <si>
    <t xml:space="preserve"> (usually in C:\Users\&lt;you&gt;\.jupyter\). Open it and find/set:</t>
  </si>
  <si>
    <t>cd E:\data_science\Udemy_Course_1</t>
  </si>
  <si>
    <t xml:space="preserve">jupyter lab  # if u want to open jupyter lab </t>
  </si>
  <si>
    <t>(uncomment the line, use forward slashes even on Windows). Save and restart Jupyter.</t>
  </si>
  <si>
    <r>
      <t>Quick tip:</t>
    </r>
    <r>
      <rPr>
        <sz val="11"/>
        <color theme="1"/>
        <rFont val="Calibri"/>
        <family val="2"/>
        <charset val="1"/>
      </rPr>
      <t xml:space="preserve"> if you just need to read/write files from E:\ without changing directories, you can also just use the full path directly in your code, e.g. </t>
    </r>
    <r>
      <rPr>
        <sz val="10"/>
        <color theme="1"/>
        <rFont val="Arial Unicode MS"/>
        <family val="2"/>
      </rPr>
      <t>pd.read_csv(r'E:\data\file.csv')</t>
    </r>
    <r>
      <rPr>
        <sz val="11"/>
        <color theme="1"/>
        <rFont val="Calibri"/>
        <family val="2"/>
        <charset val="1"/>
      </rPr>
      <t>, without touching the working directory at all.</t>
    </r>
  </si>
  <si>
    <t>X2</t>
  </si>
  <si>
    <t>X3</t>
  </si>
  <si>
    <t xml:space="preserve"> b0 + b1*X1 + b2*X2 + b3*X3</t>
  </si>
  <si>
    <t>X1(or L)</t>
  </si>
  <si>
    <t>Independent variables; Model(y) is dependeent variable or Target variable;</t>
  </si>
  <si>
    <t>when someone is not participating =&gt; we give HIM (mean value as HIS share)!</t>
  </si>
  <si>
    <t>when we take Mean values of (LIC) to get A(loan approval)=</t>
  </si>
  <si>
    <t>Model(y) =&gt;</t>
  </si>
  <si>
    <t>Model prediction formula:  A= f(L,I,C) = b0 +  b1*L + b2*I + b3*C</t>
  </si>
  <si>
    <t>Loan Dataset</t>
  </si>
  <si>
    <t xml:space="preserve">Loan Dataset </t>
  </si>
  <si>
    <t>A(hat)=y(hat)=&gt;MODEL</t>
  </si>
  <si>
    <t xml:space="preserve"> A(actual) Approval (%) = y</t>
  </si>
  <si>
    <t>BY CLAUD</t>
  </si>
  <si>
    <r>
      <rPr>
        <b/>
        <sz val="11"/>
        <color rgb="FFFF0000"/>
        <rFont val="Calibri"/>
        <family val="2"/>
      </rPr>
      <t>IF U skip (MLE/log-likelihood &amp; tree-based methods),</t>
    </r>
    <r>
      <rPr>
        <b/>
        <sz val="16"/>
        <color rgb="FFFF0000"/>
        <rFont val="Calibri"/>
        <family val="2"/>
      </rPr>
      <t xml:space="preserve"> </t>
    </r>
    <r>
      <rPr>
        <sz val="16"/>
        <color rgb="FFFF0000"/>
        <rFont val="Calibri"/>
        <family val="2"/>
      </rPr>
      <t>alternative TO TREE BASED families:</t>
    </r>
  </si>
</sst>
</file>

<file path=xl/styles.xml><?xml version="1.0" encoding="utf-8"?>
<styleSheet xmlns="http://schemas.openxmlformats.org/spreadsheetml/2006/main">
  <numFmts count="8">
    <numFmt numFmtId="6" formatCode="&quot;$&quot;#,##0_);[Red]\(&quot;$&quot;#,##0\)"/>
    <numFmt numFmtId="164" formatCode="\$#,##0"/>
    <numFmt numFmtId="165" formatCode="0\%"/>
    <numFmt numFmtId="166" formatCode="0.0"/>
    <numFmt numFmtId="167" formatCode="0.00\%"/>
    <numFmt numFmtId="168" formatCode="0.0000"/>
    <numFmt numFmtId="169" formatCode="0.000"/>
    <numFmt numFmtId="170" formatCode="0.0\%"/>
  </numFmts>
  <fonts count="73">
    <font>
      <sz val="11"/>
      <color theme="1"/>
      <name val="Calibri"/>
      <family val="2"/>
      <charset val="1"/>
    </font>
    <font>
      <b/>
      <sz val="14"/>
      <name val="Arial"/>
      <family val="2"/>
    </font>
    <font>
      <b/>
      <sz val="11"/>
      <color rgb="FFFFFFFF"/>
      <name val="Arial"/>
      <family val="2"/>
    </font>
    <font>
      <sz val="11"/>
      <color rgb="FF0000FF"/>
      <name val="Arial"/>
      <family val="2"/>
    </font>
    <font>
      <b/>
      <sz val="11"/>
      <name val="Arial"/>
      <family val="2"/>
    </font>
    <font>
      <i/>
      <sz val="9"/>
      <name val="Arial"/>
      <family val="2"/>
    </font>
    <font>
      <i/>
      <sz val="11"/>
      <name val="Arial"/>
      <family val="2"/>
    </font>
    <font>
      <b/>
      <sz val="13"/>
      <name val="Arial"/>
      <family val="2"/>
    </font>
    <font>
      <b/>
      <sz val="11"/>
      <color theme="1"/>
      <name val="Calibri"/>
      <family val="2"/>
      <charset val="1"/>
    </font>
    <font>
      <i/>
      <sz val="11"/>
      <color theme="1"/>
      <name val="Calibri"/>
      <family val="2"/>
      <charset val="1"/>
    </font>
    <font>
      <sz val="10"/>
      <color theme="1"/>
      <name val="Arial Unicode MS"/>
      <family val="2"/>
    </font>
    <font>
      <b/>
      <sz val="10"/>
      <color theme="1"/>
      <name val="Arial Unicode MS"/>
      <family val="2"/>
    </font>
    <font>
      <sz val="10"/>
      <color rgb="FF14181F"/>
      <name val="Var(--font-mono)"/>
    </font>
    <font>
      <sz val="10"/>
      <color rgb="FF8100C2"/>
      <name val="Var(--font-mono)"/>
    </font>
    <font>
      <sz val="10"/>
      <color rgb="FF6E7687"/>
      <name val="Var(--font-mono)"/>
    </font>
    <font>
      <sz val="10"/>
      <color rgb="FF2B303B"/>
      <name val="Var(--font-mono)"/>
    </font>
    <font>
      <i/>
      <sz val="12"/>
      <name val="Arial"/>
      <family val="2"/>
    </font>
    <font>
      <sz val="14"/>
      <color theme="1"/>
      <name val="Calibri"/>
      <family val="2"/>
      <charset val="1"/>
    </font>
    <font>
      <sz val="16"/>
      <color rgb="FF0000FF"/>
      <name val="Arial"/>
      <family val="2"/>
    </font>
    <font>
      <sz val="18"/>
      <color rgb="FF0000FF"/>
      <name val="Arial"/>
      <family val="2"/>
    </font>
    <font>
      <sz val="14"/>
      <color rgb="FF0000FF"/>
      <name val="Arial"/>
      <family val="2"/>
    </font>
    <font>
      <sz val="10"/>
      <color theme="1"/>
      <name val="Calibri"/>
      <family val="2"/>
      <charset val="1"/>
    </font>
    <font>
      <sz val="10"/>
      <color rgb="FF0000FF"/>
      <name val="Arial"/>
      <family val="2"/>
    </font>
    <font>
      <b/>
      <sz val="11"/>
      <color rgb="FFFF0000"/>
      <name val="Arial"/>
      <family val="2"/>
    </font>
    <font>
      <sz val="11"/>
      <name val="Arial"/>
      <family val="2"/>
    </font>
    <font>
      <sz val="11"/>
      <color rgb="FFFF0000"/>
      <name val="Calibri"/>
      <family val="2"/>
      <charset val="1"/>
    </font>
    <font>
      <sz val="14"/>
      <color rgb="FFFF0000"/>
      <name val="Calibri"/>
      <family val="2"/>
      <charset val="1"/>
    </font>
    <font>
      <i/>
      <sz val="11"/>
      <color rgb="FFFF0000"/>
      <name val="Arial"/>
      <family val="2"/>
    </font>
    <font>
      <b/>
      <sz val="11"/>
      <color theme="1"/>
      <name val="Calibri"/>
      <family val="2"/>
    </font>
    <font>
      <sz val="11"/>
      <color theme="1"/>
      <name val="Calibri"/>
      <family val="2"/>
    </font>
    <font>
      <sz val="12"/>
      <color theme="1"/>
      <name val="Calibri"/>
      <family val="2"/>
    </font>
    <font>
      <b/>
      <sz val="14"/>
      <color rgb="FFFF0000"/>
      <name val="Calibri"/>
      <family val="2"/>
      <charset val="1"/>
    </font>
    <font>
      <b/>
      <i/>
      <sz val="14"/>
      <color rgb="FFFF0000"/>
      <name val="Calibri"/>
      <family val="2"/>
      <charset val="1"/>
    </font>
    <font>
      <sz val="16"/>
      <color rgb="FFFF0000"/>
      <name val="Calibri"/>
      <family val="2"/>
      <charset val="1"/>
    </font>
    <font>
      <b/>
      <sz val="16"/>
      <color rgb="FFFF0000"/>
      <name val="Calibri"/>
      <family val="2"/>
    </font>
    <font>
      <u/>
      <sz val="11"/>
      <color theme="1"/>
      <name val="Calibri"/>
      <family val="2"/>
      <charset val="1"/>
    </font>
    <font>
      <b/>
      <i/>
      <sz val="14"/>
      <color rgb="FFFF0000"/>
      <name val="Arial"/>
      <family val="2"/>
    </font>
    <font>
      <b/>
      <sz val="14"/>
      <color rgb="FFFF0000"/>
      <name val="Arial"/>
      <family val="2"/>
    </font>
    <font>
      <sz val="14"/>
      <color rgb="FFC00000"/>
      <name val="Arial"/>
      <family val="2"/>
    </font>
    <font>
      <sz val="11"/>
      <color rgb="FF2B303B"/>
      <name val="Calibri"/>
      <family val="2"/>
      <charset val="1"/>
    </font>
    <font>
      <b/>
      <sz val="13.5"/>
      <color theme="1"/>
      <name val="Calibri"/>
      <family val="2"/>
      <charset val="1"/>
    </font>
    <font>
      <b/>
      <i/>
      <sz val="11"/>
      <color theme="1"/>
      <name val="Calibri"/>
      <family val="2"/>
      <charset val="1"/>
    </font>
    <font>
      <b/>
      <sz val="11"/>
      <color rgb="FFFF0000"/>
      <name val="Calibri"/>
      <family val="2"/>
      <charset val="1"/>
    </font>
    <font>
      <b/>
      <sz val="10"/>
      <color rgb="FFFF0000"/>
      <name val="Var(--font-mono)"/>
    </font>
    <font>
      <sz val="10"/>
      <color rgb="FF008000"/>
      <name val="Var(--font-mono)"/>
    </font>
    <font>
      <b/>
      <sz val="13.5"/>
      <color rgb="FFFF0000"/>
      <name val="Calibri"/>
      <family val="2"/>
      <charset val="1"/>
    </font>
    <font>
      <sz val="10"/>
      <color rgb="FFFF0000"/>
      <name val="Var(--font-mono)"/>
    </font>
    <font>
      <sz val="10"/>
      <color rgb="FFFF0000"/>
      <name val="Arial Unicode MS"/>
      <family val="2"/>
    </font>
    <font>
      <sz val="11"/>
      <color rgb="FF002060"/>
      <name val="Calibri"/>
      <family val="2"/>
      <charset val="1"/>
    </font>
    <font>
      <sz val="10"/>
      <color rgb="FF002060"/>
      <name val="Var(--font-mono)"/>
    </font>
    <font>
      <b/>
      <sz val="10"/>
      <color rgb="FFFFFFFF"/>
      <name val="Arial"/>
      <family val="2"/>
    </font>
    <font>
      <sz val="18"/>
      <color theme="1"/>
      <name val="Calibri"/>
      <family val="2"/>
      <charset val="1"/>
    </font>
    <font>
      <sz val="16"/>
      <color theme="1"/>
      <name val="Calibri"/>
      <family val="2"/>
      <charset val="1"/>
    </font>
    <font>
      <b/>
      <sz val="11"/>
      <color indexed="81"/>
      <name val="Tahoma"/>
      <family val="2"/>
    </font>
    <font>
      <b/>
      <sz val="14"/>
      <color rgb="FF5614FC"/>
      <name val="Calibri"/>
      <family val="2"/>
    </font>
    <font>
      <sz val="12"/>
      <color rgb="FF5614FC"/>
      <name val="Calibri"/>
      <family val="2"/>
      <charset val="1"/>
    </font>
    <font>
      <i/>
      <sz val="14"/>
      <name val="Arial"/>
      <family val="2"/>
    </font>
    <font>
      <b/>
      <u/>
      <sz val="14"/>
      <color rgb="FF5614FC"/>
      <name val="Calibri"/>
      <family val="2"/>
    </font>
    <font>
      <u/>
      <sz val="12"/>
      <color rgb="FF0000FF"/>
      <name val="Arial"/>
      <family val="2"/>
    </font>
    <font>
      <sz val="11"/>
      <color rgb="FFFF0000"/>
      <name val="Arial"/>
      <family val="2"/>
    </font>
    <font>
      <sz val="10"/>
      <color rgb="FFFF0000"/>
      <name val="Arial"/>
      <family val="2"/>
    </font>
    <font>
      <b/>
      <sz val="10"/>
      <color theme="1"/>
      <name val="Arial"/>
      <family val="2"/>
    </font>
    <font>
      <b/>
      <sz val="16"/>
      <name val="Arial"/>
      <family val="2"/>
    </font>
    <font>
      <sz val="16"/>
      <color rgb="FF000000"/>
      <name val="Arial"/>
      <family val="2"/>
    </font>
    <font>
      <b/>
      <sz val="18"/>
      <color theme="1"/>
      <name val="Calibri"/>
      <family val="2"/>
    </font>
    <font>
      <b/>
      <sz val="14"/>
      <color theme="1"/>
      <name val="Calibri"/>
      <family val="2"/>
    </font>
    <font>
      <b/>
      <sz val="16"/>
      <color theme="1"/>
      <name val="Calibri"/>
      <family val="2"/>
    </font>
    <font>
      <b/>
      <sz val="18"/>
      <color indexed="81"/>
      <name val="Tahoma"/>
      <family val="2"/>
    </font>
    <font>
      <b/>
      <sz val="16"/>
      <color indexed="81"/>
      <name val="Tahoma"/>
      <family val="2"/>
    </font>
    <font>
      <b/>
      <sz val="14"/>
      <color indexed="81"/>
      <name val="Tahoma"/>
      <family val="2"/>
    </font>
    <font>
      <sz val="11"/>
      <color rgb="FFFF0000"/>
      <name val="Calibri"/>
      <family val="2"/>
    </font>
    <font>
      <sz val="16"/>
      <color rgb="FFFF0000"/>
      <name val="Calibri"/>
      <family val="2"/>
    </font>
    <font>
      <b/>
      <sz val="11"/>
      <color rgb="FFFF0000"/>
      <name val="Calibri"/>
      <family val="2"/>
    </font>
  </fonts>
  <fills count="23">
    <fill>
      <patternFill patternType="none"/>
    </fill>
    <fill>
      <patternFill patternType="gray125"/>
    </fill>
    <fill>
      <patternFill patternType="solid">
        <fgColor rgb="FF4472C4"/>
        <bgColor rgb="FF666699"/>
      </patternFill>
    </fill>
    <fill>
      <patternFill patternType="solid">
        <fgColor rgb="FFF2F2F2"/>
        <bgColor rgb="FFFFFFFF"/>
      </patternFill>
    </fill>
    <fill>
      <patternFill patternType="solid">
        <fgColor rgb="FFFFFF00"/>
        <bgColor rgb="FFFFFF00"/>
      </patternFill>
    </fill>
    <fill>
      <patternFill patternType="solid">
        <fgColor rgb="FFC6EFCE"/>
        <bgColor rgb="FFCCFFFF"/>
      </patternFill>
    </fill>
    <fill>
      <patternFill patternType="solid">
        <fgColor rgb="FFFFFF00"/>
        <bgColor indexed="64"/>
      </patternFill>
    </fill>
    <fill>
      <patternFill patternType="solid">
        <fgColor theme="0"/>
        <bgColor rgb="FF666699"/>
      </patternFill>
    </fill>
    <fill>
      <patternFill patternType="solid">
        <fgColor theme="5" tint="0.79998168889431442"/>
        <bgColor indexed="64"/>
      </patternFill>
    </fill>
    <fill>
      <patternFill patternType="solid">
        <fgColor theme="5" tint="0.79998168889431442"/>
        <bgColor rgb="FFCCFFFF"/>
      </patternFill>
    </fill>
    <fill>
      <patternFill patternType="solid">
        <fgColor rgb="FF92D050"/>
        <bgColor indexed="64"/>
      </patternFill>
    </fill>
    <fill>
      <patternFill patternType="solid">
        <fgColor rgb="FF92D050"/>
        <bgColor rgb="FFFFFFFF"/>
      </patternFill>
    </fill>
    <fill>
      <patternFill patternType="solid">
        <fgColor theme="0"/>
        <bgColor rgb="FFCCFFFF"/>
      </patternFill>
    </fill>
    <fill>
      <patternFill patternType="solid">
        <fgColor theme="0"/>
        <bgColor indexed="64"/>
      </patternFill>
    </fill>
    <fill>
      <patternFill patternType="solid">
        <fgColor rgb="FFFFFF00"/>
        <bgColor rgb="FFCCFFFF"/>
      </patternFill>
    </fill>
    <fill>
      <patternFill patternType="solid">
        <fgColor theme="1"/>
        <bgColor rgb="FF666699"/>
      </patternFill>
    </fill>
    <fill>
      <patternFill patternType="solid">
        <fgColor theme="1"/>
        <bgColor indexed="64"/>
      </patternFill>
    </fill>
    <fill>
      <patternFill patternType="solid">
        <fgColor theme="1"/>
        <bgColor rgb="FFFFFFFF"/>
      </patternFill>
    </fill>
    <fill>
      <patternFill patternType="solid">
        <fgColor theme="3" tint="0.79998168889431442"/>
        <bgColor indexed="64"/>
      </patternFill>
    </fill>
    <fill>
      <patternFill patternType="solid">
        <fgColor theme="6" tint="0.79998168889431442"/>
        <bgColor indexed="64"/>
      </patternFill>
    </fill>
    <fill>
      <patternFill patternType="solid">
        <fgColor theme="6" tint="0.79998168889431442"/>
        <bgColor rgb="FF666699"/>
      </patternFill>
    </fill>
    <fill>
      <patternFill patternType="solid">
        <fgColor theme="6" tint="0.79998168889431442"/>
        <bgColor rgb="FFCCFFFF"/>
      </patternFill>
    </fill>
    <fill>
      <patternFill patternType="solid">
        <fgColor theme="3" tint="0.79998168889431442"/>
        <bgColor rgb="FFCCFFFF"/>
      </patternFill>
    </fill>
  </fills>
  <borders count="40">
    <border>
      <left/>
      <right/>
      <top/>
      <bottom/>
      <diagonal/>
    </border>
    <border>
      <left style="thin">
        <color rgb="FFB7B7B7"/>
      </left>
      <right style="thin">
        <color rgb="FFB7B7B7"/>
      </right>
      <top style="thin">
        <color rgb="FFB7B7B7"/>
      </top>
      <bottom style="thin">
        <color rgb="FFB7B7B7"/>
      </bottom>
      <diagonal/>
    </border>
    <border>
      <left style="thin">
        <color indexed="64"/>
      </left>
      <right style="thin">
        <color indexed="64"/>
      </right>
      <top style="thin">
        <color indexed="64"/>
      </top>
      <bottom style="thin">
        <color indexed="64"/>
      </bottom>
      <diagonal/>
    </border>
    <border>
      <left style="thin">
        <color rgb="FFB7B7B7"/>
      </left>
      <right style="thin">
        <color rgb="FFB7B7B7"/>
      </right>
      <top style="thin">
        <color rgb="FFB7B7B7"/>
      </top>
      <bottom/>
      <diagonal/>
    </border>
    <border>
      <left style="thin">
        <color rgb="FFB7B7B7"/>
      </left>
      <right style="thin">
        <color rgb="FFB7B7B7"/>
      </right>
      <top/>
      <bottom style="thin">
        <color rgb="FFB7B7B7"/>
      </bottom>
      <diagonal/>
    </border>
    <border>
      <left style="thin">
        <color rgb="FFB7B7B7"/>
      </left>
      <right/>
      <top style="thin">
        <color rgb="FFB7B7B7"/>
      </top>
      <bottom style="thin">
        <color rgb="FFB7B7B7"/>
      </bottom>
      <diagonal/>
    </border>
    <border>
      <left/>
      <right/>
      <top style="thin">
        <color rgb="FFB7B7B7"/>
      </top>
      <bottom style="thin">
        <color rgb="FFB7B7B7"/>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rgb="FFB7B7B7"/>
      </right>
      <top style="medium">
        <color indexed="64"/>
      </top>
      <bottom style="medium">
        <color indexed="64"/>
      </bottom>
      <diagonal/>
    </border>
    <border>
      <left style="thin">
        <color rgb="FFB7B7B7"/>
      </left>
      <right style="thin">
        <color rgb="FFB7B7B7"/>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right/>
      <top/>
      <bottom style="double">
        <color indexed="64"/>
      </bottom>
      <diagonal/>
    </border>
    <border>
      <left style="thin">
        <color indexed="64"/>
      </left>
      <right style="thin">
        <color indexed="64"/>
      </right>
      <top style="thin">
        <color indexed="64"/>
      </top>
      <bottom style="double">
        <color indexed="64"/>
      </bottom>
      <diagonal/>
    </border>
    <border>
      <left/>
      <right/>
      <top/>
      <bottom style="thin">
        <color rgb="FFB7B7B7"/>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rgb="FFB7B7B7"/>
      </left>
      <right/>
      <top style="medium">
        <color indexed="64"/>
      </top>
      <bottom style="medium">
        <color indexed="64"/>
      </bottom>
      <diagonal/>
    </border>
    <border>
      <left style="thin">
        <color rgb="FFB7B7B7"/>
      </left>
      <right/>
      <top style="thin">
        <color rgb="FFB7B7B7"/>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rgb="FFB7B7B7"/>
      </right>
      <top/>
      <bottom/>
      <diagonal/>
    </border>
    <border>
      <left style="medium">
        <color indexed="64"/>
      </left>
      <right style="medium">
        <color indexed="64"/>
      </right>
      <top/>
      <bottom style="thin">
        <color rgb="FFB7B7B7"/>
      </bottom>
      <diagonal/>
    </border>
    <border>
      <left style="medium">
        <color indexed="64"/>
      </left>
      <right style="medium">
        <color indexed="64"/>
      </right>
      <top style="thin">
        <color rgb="FFB7B7B7"/>
      </top>
      <bottom style="thin">
        <color rgb="FFB7B7B7"/>
      </bottom>
      <diagonal/>
    </border>
    <border>
      <left style="medium">
        <color indexed="64"/>
      </left>
      <right style="medium">
        <color indexed="64"/>
      </right>
      <top style="thin">
        <color rgb="FFB7B7B7"/>
      </top>
      <bottom style="medium">
        <color indexed="64"/>
      </bottom>
      <diagonal/>
    </border>
  </borders>
  <cellStyleXfs count="1">
    <xf numFmtId="0" fontId="0" fillId="0" borderId="0"/>
  </cellStyleXfs>
  <cellXfs count="198">
    <xf numFmtId="0" fontId="0" fillId="0" borderId="0" xfId="0"/>
    <xf numFmtId="0" fontId="2" fillId="2" borderId="1" xfId="0" applyFont="1" applyFill="1" applyBorder="1" applyAlignment="1">
      <alignment horizontal="center" vertical="center" wrapText="1"/>
    </xf>
    <xf numFmtId="0" fontId="0" fillId="0" borderId="1" xfId="0" applyBorder="1" applyAlignment="1">
      <alignment horizontal="center"/>
    </xf>
    <xf numFmtId="164" fontId="3" fillId="0" borderId="1" xfId="0" applyNumberFormat="1" applyFont="1" applyBorder="1" applyAlignment="1">
      <alignment horizontal="center"/>
    </xf>
    <xf numFmtId="0" fontId="3" fillId="0" borderId="1" xfId="0" applyFont="1" applyBorder="1" applyAlignment="1">
      <alignment horizontal="center"/>
    </xf>
    <xf numFmtId="165" fontId="3" fillId="0" borderId="1" xfId="0" applyNumberFormat="1" applyFont="1" applyBorder="1" applyAlignment="1">
      <alignment horizontal="center"/>
    </xf>
    <xf numFmtId="0" fontId="4" fillId="0" borderId="0" xfId="0" applyFont="1"/>
    <xf numFmtId="164" fontId="4" fillId="3" borderId="1" xfId="0" applyNumberFormat="1" applyFont="1" applyFill="1" applyBorder="1" applyAlignment="1">
      <alignment horizontal="center"/>
    </xf>
    <xf numFmtId="166" fontId="4" fillId="3" borderId="1" xfId="0" applyNumberFormat="1" applyFont="1" applyFill="1" applyBorder="1" applyAlignment="1">
      <alignment horizontal="center"/>
    </xf>
    <xf numFmtId="167" fontId="4" fillId="3" borderId="1" xfId="0" applyNumberFormat="1" applyFont="1" applyFill="1" applyBorder="1" applyAlignment="1">
      <alignment horizontal="center"/>
    </xf>
    <xf numFmtId="0" fontId="0" fillId="0" borderId="1" xfId="0" applyBorder="1"/>
    <xf numFmtId="164" fontId="0" fillId="0" borderId="1" xfId="0" applyNumberFormat="1" applyBorder="1" applyAlignment="1">
      <alignment horizontal="center"/>
    </xf>
    <xf numFmtId="1" fontId="0" fillId="0" borderId="1" xfId="0" applyNumberFormat="1" applyBorder="1" applyAlignment="1">
      <alignment horizontal="center"/>
    </xf>
    <xf numFmtId="167" fontId="0" fillId="0" borderId="1" xfId="0" applyNumberFormat="1" applyBorder="1" applyAlignment="1">
      <alignment horizontal="center"/>
    </xf>
    <xf numFmtId="168" fontId="0" fillId="0" borderId="1" xfId="0" applyNumberFormat="1" applyBorder="1" applyAlignment="1">
      <alignment horizontal="center"/>
    </xf>
    <xf numFmtId="167" fontId="4" fillId="4" borderId="1" xfId="0" applyNumberFormat="1" applyFont="1" applyFill="1" applyBorder="1"/>
    <xf numFmtId="0" fontId="8" fillId="0" borderId="0" xfId="0" applyFont="1"/>
    <xf numFmtId="0" fontId="0" fillId="0" borderId="0" xfId="0" applyAlignment="1">
      <alignment horizontal="left" indent="1"/>
    </xf>
    <xf numFmtId="0" fontId="8" fillId="0" borderId="0" xfId="0" applyFont="1" applyAlignment="1">
      <alignment horizontal="center" vertical="center" wrapText="1"/>
    </xf>
    <xf numFmtId="0" fontId="0" fillId="0" borderId="0" xfId="0" applyAlignment="1">
      <alignment wrapText="1"/>
    </xf>
    <xf numFmtId="0" fontId="8" fillId="0" borderId="0" xfId="0" applyFont="1" applyAlignment="1">
      <alignment horizontal="left" indent="1"/>
    </xf>
    <xf numFmtId="0" fontId="11" fillId="0" borderId="0" xfId="0" applyFont="1" applyAlignment="1">
      <alignment horizontal="left" indent="1"/>
    </xf>
    <xf numFmtId="0" fontId="13" fillId="0" borderId="0" xfId="0" applyFont="1"/>
    <xf numFmtId="0" fontId="14" fillId="0" borderId="0" xfId="0" applyFont="1"/>
    <xf numFmtId="0" fontId="12" fillId="0" borderId="0" xfId="0" applyFont="1"/>
    <xf numFmtId="0" fontId="17" fillId="0" borderId="0" xfId="0" applyFont="1"/>
    <xf numFmtId="164" fontId="20" fillId="6" borderId="1" xfId="0" applyNumberFormat="1" applyFont="1" applyFill="1" applyBorder="1" applyAlignment="1">
      <alignment horizontal="center"/>
    </xf>
    <xf numFmtId="0" fontId="18" fillId="6" borderId="1" xfId="0" applyFont="1" applyFill="1" applyBorder="1" applyAlignment="1">
      <alignment horizontal="center"/>
    </xf>
    <xf numFmtId="165" fontId="19" fillId="6" borderId="1" xfId="0" applyNumberFormat="1" applyFont="1" applyFill="1" applyBorder="1" applyAlignment="1">
      <alignment horizontal="center"/>
    </xf>
    <xf numFmtId="0" fontId="1" fillId="0" borderId="0" xfId="0" applyFont="1" applyBorder="1" applyAlignment="1"/>
    <xf numFmtId="169" fontId="3" fillId="4" borderId="0" xfId="0" applyNumberFormat="1" applyFont="1" applyFill="1"/>
    <xf numFmtId="166" fontId="3" fillId="4" borderId="0" xfId="0" applyNumberFormat="1" applyFont="1" applyFill="1"/>
    <xf numFmtId="0" fontId="2" fillId="2" borderId="2" xfId="0" applyFont="1" applyFill="1" applyBorder="1" applyAlignment="1">
      <alignment horizontal="center" vertical="center" wrapText="1"/>
    </xf>
    <xf numFmtId="0" fontId="23" fillId="7" borderId="2" xfId="0" applyFont="1" applyFill="1" applyBorder="1" applyAlignment="1">
      <alignment horizontal="center" vertical="center" wrapText="1"/>
    </xf>
    <xf numFmtId="0" fontId="0" fillId="0" borderId="2" xfId="0" applyBorder="1" applyAlignment="1">
      <alignment horizontal="center" vertical="center"/>
    </xf>
    <xf numFmtId="0" fontId="24" fillId="0" borderId="0" xfId="0" applyFont="1" applyAlignment="1">
      <alignment horizontal="right"/>
    </xf>
    <xf numFmtId="0" fontId="2" fillId="2" borderId="3" xfId="0" applyFont="1" applyFill="1" applyBorder="1" applyAlignment="1">
      <alignment horizontal="center" vertical="center" wrapText="1"/>
    </xf>
    <xf numFmtId="0" fontId="21" fillId="0" borderId="2" xfId="0" applyFont="1" applyBorder="1" applyAlignment="1">
      <alignment horizontal="center" vertical="center"/>
    </xf>
    <xf numFmtId="164" fontId="22" fillId="0" borderId="2" xfId="0" applyNumberFormat="1" applyFont="1" applyBorder="1" applyAlignment="1">
      <alignment horizontal="center" vertical="center"/>
    </xf>
    <xf numFmtId="0" fontId="22" fillId="0" borderId="2" xfId="0" applyFont="1" applyBorder="1" applyAlignment="1">
      <alignment horizontal="center" vertical="center"/>
    </xf>
    <xf numFmtId="164" fontId="22" fillId="6" borderId="2" xfId="0" applyNumberFormat="1" applyFont="1" applyFill="1" applyBorder="1" applyAlignment="1">
      <alignment horizontal="center" vertical="center"/>
    </xf>
    <xf numFmtId="0" fontId="22" fillId="6" borderId="2" xfId="0" applyFont="1" applyFill="1" applyBorder="1" applyAlignment="1">
      <alignment horizontal="center" vertical="center"/>
    </xf>
    <xf numFmtId="0" fontId="25" fillId="0" borderId="0" xfId="0" applyFont="1"/>
    <xf numFmtId="0" fontId="17" fillId="0" borderId="2" xfId="0" applyFont="1" applyBorder="1" applyAlignment="1">
      <alignment horizontal="center" vertical="center" wrapText="1"/>
    </xf>
    <xf numFmtId="2" fontId="30" fillId="0" borderId="2" xfId="0" applyNumberFormat="1" applyFont="1" applyBorder="1" applyAlignment="1">
      <alignment horizontal="center"/>
    </xf>
    <xf numFmtId="166" fontId="0" fillId="0" borderId="2" xfId="0" applyNumberFormat="1" applyBorder="1" applyAlignment="1">
      <alignment horizontal="center" vertical="center"/>
    </xf>
    <xf numFmtId="0" fontId="0" fillId="0" borderId="5" xfId="0" applyBorder="1" applyAlignment="1"/>
    <xf numFmtId="0" fontId="0" fillId="0" borderId="6" xfId="0" applyBorder="1" applyAlignment="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applyBorder="1"/>
    <xf numFmtId="0" fontId="0" fillId="0" borderId="11" xfId="0" applyBorder="1"/>
    <xf numFmtId="0" fontId="31" fillId="0" borderId="10" xfId="0" applyFont="1" applyBorder="1"/>
    <xf numFmtId="0" fontId="0" fillId="0" borderId="10" xfId="0" applyBorder="1" applyAlignment="1">
      <alignment horizontal="left" indent="1"/>
    </xf>
    <xf numFmtId="0" fontId="8" fillId="0" borderId="10" xfId="0" applyFont="1" applyBorder="1" applyAlignment="1">
      <alignment horizontal="left" indent="1"/>
    </xf>
    <xf numFmtId="0" fontId="8" fillId="0" borderId="10" xfId="0" applyFont="1" applyBorder="1"/>
    <xf numFmtId="0" fontId="0" fillId="0" borderId="12" xfId="0" applyBorder="1"/>
    <xf numFmtId="0" fontId="0" fillId="0" borderId="13" xfId="0" applyBorder="1"/>
    <xf numFmtId="0" fontId="0" fillId="0" borderId="14" xfId="0" applyBorder="1"/>
    <xf numFmtId="164" fontId="34" fillId="8" borderId="1" xfId="0" applyNumberFormat="1" applyFont="1" applyFill="1" applyBorder="1" applyAlignment="1">
      <alignment horizontal="center"/>
    </xf>
    <xf numFmtId="0" fontId="33" fillId="8" borderId="1" xfId="0" applyFont="1" applyFill="1" applyBorder="1" applyAlignment="1">
      <alignment horizontal="center"/>
    </xf>
    <xf numFmtId="0" fontId="0" fillId="10" borderId="1" xfId="0" applyFill="1" applyBorder="1" applyAlignment="1">
      <alignment horizontal="center"/>
    </xf>
    <xf numFmtId="0" fontId="4" fillId="10" borderId="0" xfId="0" applyFont="1" applyFill="1"/>
    <xf numFmtId="164" fontId="4" fillId="11" borderId="4" xfId="0" applyNumberFormat="1" applyFont="1" applyFill="1" applyBorder="1" applyAlignment="1">
      <alignment horizontal="center"/>
    </xf>
    <xf numFmtId="0" fontId="26" fillId="0" borderId="5" xfId="0" applyFont="1" applyBorder="1"/>
    <xf numFmtId="0" fontId="0" fillId="0" borderId="3" xfId="0" applyBorder="1" applyAlignment="1">
      <alignment horizontal="center"/>
    </xf>
    <xf numFmtId="164" fontId="0" fillId="0" borderId="3" xfId="0" applyNumberFormat="1" applyBorder="1" applyAlignment="1">
      <alignment horizontal="center"/>
    </xf>
    <xf numFmtId="0" fontId="26" fillId="0" borderId="15" xfId="0" applyFont="1" applyBorder="1" applyAlignment="1">
      <alignment horizontal="center"/>
    </xf>
    <xf numFmtId="0" fontId="26" fillId="0" borderId="16" xfId="0" applyFont="1" applyBorder="1" applyAlignment="1">
      <alignment horizontal="center"/>
    </xf>
    <xf numFmtId="166" fontId="3" fillId="4" borderId="2" xfId="0" applyNumberFormat="1" applyFont="1" applyFill="1" applyBorder="1" applyAlignment="1">
      <alignment vertical="center"/>
    </xf>
    <xf numFmtId="169" fontId="3" fillId="4" borderId="2" xfId="0" applyNumberFormat="1" applyFont="1" applyFill="1" applyBorder="1" applyAlignment="1">
      <alignment vertical="center"/>
    </xf>
    <xf numFmtId="0" fontId="24" fillId="0" borderId="2" xfId="0" applyFont="1" applyBorder="1" applyAlignment="1">
      <alignment horizontal="center" vertical="center"/>
    </xf>
    <xf numFmtId="2" fontId="30" fillId="0" borderId="2" xfId="0" applyNumberFormat="1" applyFont="1" applyBorder="1" applyAlignment="1">
      <alignment horizontal="center" vertical="center"/>
    </xf>
    <xf numFmtId="1" fontId="4" fillId="11" borderId="4" xfId="0" applyNumberFormat="1" applyFont="1" applyFill="1" applyBorder="1" applyAlignment="1">
      <alignment horizontal="center"/>
    </xf>
    <xf numFmtId="1" fontId="17" fillId="10" borderId="0" xfId="0" applyNumberFormat="1" applyFont="1" applyFill="1" applyAlignment="1">
      <alignment horizontal="center" vertical="center"/>
    </xf>
    <xf numFmtId="0" fontId="0" fillId="0" borderId="21" xfId="0" applyBorder="1"/>
    <xf numFmtId="0" fontId="35" fillId="0" borderId="22" xfId="0" applyFont="1" applyBorder="1" applyAlignment="1">
      <alignment horizontal="center" vertical="center"/>
    </xf>
    <xf numFmtId="166" fontId="34" fillId="0" borderId="2" xfId="0" applyNumberFormat="1" applyFont="1" applyBorder="1" applyAlignment="1">
      <alignment horizontal="center" vertical="center"/>
    </xf>
    <xf numFmtId="170" fontId="36" fillId="0" borderId="1" xfId="0" applyNumberFormat="1" applyFont="1" applyBorder="1"/>
    <xf numFmtId="1" fontId="17" fillId="6" borderId="0" xfId="0" applyNumberFormat="1" applyFont="1" applyFill="1" applyAlignment="1">
      <alignment horizontal="center" vertical="center"/>
    </xf>
    <xf numFmtId="170" fontId="37" fillId="14" borderId="4" xfId="0" applyNumberFormat="1" applyFont="1" applyFill="1" applyBorder="1" applyAlignment="1">
      <alignment horizontal="left"/>
    </xf>
    <xf numFmtId="0" fontId="2" fillId="2" borderId="0"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7" fillId="0" borderId="0" xfId="0" applyFont="1" applyBorder="1"/>
    <xf numFmtId="0" fontId="40" fillId="0" borderId="0" xfId="0" applyFont="1"/>
    <xf numFmtId="0" fontId="42" fillId="6" borderId="0" xfId="0" applyFont="1" applyFill="1"/>
    <xf numFmtId="0" fontId="43" fillId="6" borderId="0" xfId="0" applyFont="1" applyFill="1"/>
    <xf numFmtId="0" fontId="45" fillId="0" borderId="0" xfId="0" applyFont="1"/>
    <xf numFmtId="0" fontId="48" fillId="0" borderId="7" xfId="0" applyFont="1" applyBorder="1"/>
    <xf numFmtId="0" fontId="48" fillId="0" borderId="8" xfId="0" applyFont="1" applyBorder="1"/>
    <xf numFmtId="0" fontId="48" fillId="0" borderId="9" xfId="0" applyFont="1" applyBorder="1"/>
    <xf numFmtId="0" fontId="48" fillId="0" borderId="10" xfId="0" applyFont="1" applyBorder="1"/>
    <xf numFmtId="0" fontId="48" fillId="0" borderId="0" xfId="0" applyFont="1" applyBorder="1"/>
    <xf numFmtId="0" fontId="48" fillId="0" borderId="11" xfId="0" applyFont="1" applyBorder="1"/>
    <xf numFmtId="0" fontId="49" fillId="0" borderId="12" xfId="0" applyFont="1" applyBorder="1"/>
    <xf numFmtId="0" fontId="48" fillId="0" borderId="13" xfId="0" applyFont="1" applyBorder="1"/>
    <xf numFmtId="0" fontId="48" fillId="0" borderId="14" xfId="0" applyFont="1" applyBorder="1"/>
    <xf numFmtId="0" fontId="25" fillId="0" borderId="7" xfId="0" applyFont="1" applyBorder="1"/>
    <xf numFmtId="0" fontId="46" fillId="0" borderId="10" xfId="0" applyFont="1" applyBorder="1"/>
    <xf numFmtId="0" fontId="43" fillId="6" borderId="7" xfId="0" applyFont="1" applyFill="1" applyBorder="1"/>
    <xf numFmtId="0" fontId="42" fillId="6" borderId="8" xfId="0" applyFont="1" applyFill="1" applyBorder="1"/>
    <xf numFmtId="0" fontId="0" fillId="6" borderId="10" xfId="0" applyFill="1" applyBorder="1"/>
    <xf numFmtId="0" fontId="0" fillId="6" borderId="0" xfId="0" applyFill="1" applyBorder="1"/>
    <xf numFmtId="0" fontId="42" fillId="6" borderId="0" xfId="0" applyFont="1" applyFill="1" applyBorder="1"/>
    <xf numFmtId="0" fontId="50" fillId="2" borderId="1" xfId="0" applyFont="1" applyFill="1" applyBorder="1" applyAlignment="1">
      <alignment horizontal="center" vertical="center" wrapText="1"/>
    </xf>
    <xf numFmtId="0" fontId="21" fillId="0" borderId="25" xfId="0" applyFont="1" applyBorder="1" applyAlignment="1">
      <alignment horizontal="center" vertical="center"/>
    </xf>
    <xf numFmtId="164" fontId="22" fillId="0" borderId="25" xfId="0" applyNumberFormat="1" applyFont="1" applyBorder="1" applyAlignment="1">
      <alignment horizontal="center" vertical="center"/>
    </xf>
    <xf numFmtId="164" fontId="22" fillId="6" borderId="25" xfId="0" applyNumberFormat="1" applyFont="1" applyFill="1" applyBorder="1" applyAlignment="1">
      <alignment horizontal="center" vertical="center"/>
    </xf>
    <xf numFmtId="0" fontId="4" fillId="0" borderId="17" xfId="0" applyFont="1" applyBorder="1"/>
    <xf numFmtId="164" fontId="4" fillId="3" borderId="16" xfId="0" applyNumberFormat="1" applyFont="1" applyFill="1" applyBorder="1" applyAlignment="1">
      <alignment horizontal="center"/>
    </xf>
    <xf numFmtId="166" fontId="4" fillId="3" borderId="26" xfId="0" applyNumberFormat="1" applyFont="1" applyFill="1" applyBorder="1" applyAlignment="1">
      <alignment horizontal="center"/>
    </xf>
    <xf numFmtId="0" fontId="2" fillId="2" borderId="27" xfId="0" applyFont="1" applyFill="1" applyBorder="1" applyAlignment="1">
      <alignment horizontal="center" vertical="center" wrapText="1"/>
    </xf>
    <xf numFmtId="0" fontId="2" fillId="15" borderId="0" xfId="0" applyFont="1" applyFill="1" applyBorder="1" applyAlignment="1">
      <alignment horizontal="center" vertical="center" wrapText="1"/>
    </xf>
    <xf numFmtId="0" fontId="22" fillId="16" borderId="0" xfId="0" applyFont="1" applyFill="1" applyBorder="1" applyAlignment="1">
      <alignment horizontal="center" vertical="center"/>
    </xf>
    <xf numFmtId="166" fontId="4" fillId="17" borderId="0" xfId="0" applyNumberFormat="1" applyFont="1" applyFill="1" applyBorder="1" applyAlignment="1">
      <alignment horizontal="center"/>
    </xf>
    <xf numFmtId="0" fontId="0" fillId="0" borderId="0" xfId="0" applyAlignment="1">
      <alignment horizontal="center"/>
    </xf>
    <xf numFmtId="0" fontId="0" fillId="0" borderId="0" xfId="0" applyFill="1" applyBorder="1"/>
    <xf numFmtId="0" fontId="51" fillId="0" borderId="1" xfId="0" applyFont="1" applyBorder="1" applyAlignment="1">
      <alignment horizontal="right"/>
    </xf>
    <xf numFmtId="164" fontId="28" fillId="13" borderId="1" xfId="0" applyNumberFormat="1" applyFont="1" applyFill="1" applyBorder="1" applyAlignment="1">
      <alignment horizontal="center"/>
    </xf>
    <xf numFmtId="0" fontId="52" fillId="0" borderId="1" xfId="0" applyFont="1" applyBorder="1"/>
    <xf numFmtId="0" fontId="17" fillId="0" borderId="2" xfId="0" applyFont="1" applyBorder="1" applyAlignment="1">
      <alignment horizontal="center"/>
    </xf>
    <xf numFmtId="0" fontId="55" fillId="0" borderId="0" xfId="0" applyFont="1"/>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56" fillId="0" borderId="0" xfId="0" applyFont="1"/>
    <xf numFmtId="164" fontId="57" fillId="8" borderId="16" xfId="0" applyNumberFormat="1" applyFont="1" applyFill="1" applyBorder="1" applyAlignment="1">
      <alignment horizontal="center"/>
    </xf>
    <xf numFmtId="164" fontId="58" fillId="8" borderId="2" xfId="0" applyNumberFormat="1" applyFont="1" applyFill="1" applyBorder="1" applyAlignment="1">
      <alignment horizontal="center" vertical="center"/>
    </xf>
    <xf numFmtId="170" fontId="0" fillId="0" borderId="1" xfId="0" applyNumberFormat="1" applyBorder="1" applyAlignment="1">
      <alignment horizontal="center"/>
    </xf>
    <xf numFmtId="0" fontId="26" fillId="0" borderId="0" xfId="0" applyFont="1" applyBorder="1"/>
    <xf numFmtId="0" fontId="26" fillId="0" borderId="0" xfId="0" applyFont="1" applyBorder="1" applyAlignment="1">
      <alignment horizontal="center"/>
    </xf>
    <xf numFmtId="164" fontId="57" fillId="8" borderId="0" xfId="0" applyNumberFormat="1" applyFont="1" applyFill="1" applyBorder="1" applyAlignment="1">
      <alignment horizontal="center"/>
    </xf>
    <xf numFmtId="1" fontId="57" fillId="8" borderId="0" xfId="0" applyNumberFormat="1" applyFont="1" applyFill="1" applyBorder="1" applyAlignment="1">
      <alignment horizontal="center"/>
    </xf>
    <xf numFmtId="170" fontId="26" fillId="5" borderId="0" xfId="0" applyNumberFormat="1" applyFont="1" applyFill="1" applyBorder="1"/>
    <xf numFmtId="170" fontId="36" fillId="0" borderId="0" xfId="0" applyNumberFormat="1" applyFont="1" applyBorder="1"/>
    <xf numFmtId="0" fontId="52" fillId="0" borderId="0" xfId="0" applyFont="1"/>
    <xf numFmtId="167" fontId="60" fillId="5" borderId="2" xfId="0" applyNumberFormat="1" applyFont="1" applyFill="1" applyBorder="1" applyAlignment="1">
      <alignment vertical="center"/>
    </xf>
    <xf numFmtId="165" fontId="63" fillId="5" borderId="1" xfId="0" applyNumberFormat="1" applyFont="1" applyFill="1" applyBorder="1"/>
    <xf numFmtId="165" fontId="52" fillId="0" borderId="0" xfId="0" applyNumberFormat="1" applyFont="1"/>
    <xf numFmtId="10" fontId="22" fillId="0" borderId="34" xfId="0" applyNumberFormat="1" applyFont="1" applyBorder="1" applyAlignment="1">
      <alignment horizontal="center" vertical="center"/>
    </xf>
    <xf numFmtId="10" fontId="22" fillId="0" borderId="30" xfId="0" applyNumberFormat="1" applyFont="1" applyBorder="1" applyAlignment="1">
      <alignment horizontal="center" vertical="center"/>
    </xf>
    <xf numFmtId="10" fontId="22" fillId="6" borderId="31" xfId="0" applyNumberFormat="1" applyFont="1" applyFill="1" applyBorder="1" applyAlignment="1">
      <alignment horizontal="center" vertical="center"/>
    </xf>
    <xf numFmtId="10" fontId="62" fillId="3" borderId="19" xfId="0" applyNumberFormat="1" applyFont="1" applyFill="1" applyBorder="1" applyAlignment="1">
      <alignment horizontal="center"/>
    </xf>
    <xf numFmtId="167" fontId="60" fillId="5" borderId="35" xfId="0" applyNumberFormat="1" applyFont="1" applyFill="1" applyBorder="1" applyAlignment="1">
      <alignment vertical="center"/>
    </xf>
    <xf numFmtId="37" fontId="22" fillId="0" borderId="28" xfId="0" applyNumberFormat="1" applyFont="1" applyBorder="1" applyAlignment="1">
      <alignment horizontal="center" vertical="center"/>
    </xf>
    <xf numFmtId="37" fontId="22" fillId="6" borderId="29" xfId="0" applyNumberFormat="1" applyFont="1" applyFill="1" applyBorder="1" applyAlignment="1">
      <alignment horizontal="center" vertical="center"/>
    </xf>
    <xf numFmtId="6" fontId="58" fillId="8" borderId="28" xfId="0" applyNumberFormat="1" applyFont="1" applyFill="1" applyBorder="1" applyAlignment="1">
      <alignment horizontal="center" vertical="center"/>
    </xf>
    <xf numFmtId="0" fontId="2" fillId="2" borderId="5" xfId="0" applyFont="1" applyFill="1" applyBorder="1" applyAlignment="1">
      <alignment horizontal="center" vertical="center" wrapText="1"/>
    </xf>
    <xf numFmtId="1" fontId="28" fillId="13" borderId="5" xfId="0" applyNumberFormat="1" applyFont="1" applyFill="1" applyBorder="1" applyAlignment="1">
      <alignment horizontal="center"/>
    </xf>
    <xf numFmtId="1" fontId="34" fillId="8" borderId="5" xfId="0" applyNumberFormat="1" applyFont="1" applyFill="1" applyBorder="1" applyAlignment="1">
      <alignment horizontal="center"/>
    </xf>
    <xf numFmtId="1" fontId="0" fillId="0" borderId="5" xfId="0" applyNumberFormat="1" applyBorder="1" applyAlignment="1">
      <alignment horizontal="center"/>
    </xf>
    <xf numFmtId="1" fontId="0" fillId="0" borderId="27" xfId="0" applyNumberFormat="1" applyBorder="1" applyAlignment="1">
      <alignment horizontal="center"/>
    </xf>
    <xf numFmtId="1" fontId="57" fillId="8" borderId="26" xfId="0" applyNumberFormat="1" applyFont="1" applyFill="1" applyBorder="1" applyAlignment="1">
      <alignment horizontal="center"/>
    </xf>
    <xf numFmtId="0" fontId="2" fillId="2" borderId="36" xfId="0" applyFont="1" applyFill="1" applyBorder="1" applyAlignment="1">
      <alignment horizontal="center" vertical="center" wrapText="1"/>
    </xf>
    <xf numFmtId="170" fontId="30" fillId="12" borderId="30" xfId="0" applyNumberFormat="1" applyFont="1" applyFill="1" applyBorder="1"/>
    <xf numFmtId="170" fontId="29" fillId="13" borderId="30" xfId="0" applyNumberFormat="1" applyFont="1" applyFill="1" applyBorder="1"/>
    <xf numFmtId="0" fontId="0" fillId="19" borderId="38" xfId="0" applyFill="1" applyBorder="1" applyAlignment="1"/>
    <xf numFmtId="170" fontId="0" fillId="21" borderId="38" xfId="0" applyNumberFormat="1" applyFill="1" applyBorder="1"/>
    <xf numFmtId="170" fontId="26" fillId="21" borderId="39" xfId="0" applyNumberFormat="1" applyFont="1" applyFill="1" applyBorder="1"/>
    <xf numFmtId="165" fontId="64" fillId="8" borderId="1" xfId="0" applyNumberFormat="1" applyFont="1" applyFill="1" applyBorder="1" applyAlignment="1">
      <alignment horizontal="center"/>
    </xf>
    <xf numFmtId="9" fontId="51" fillId="8" borderId="24" xfId="0" applyNumberFormat="1" applyFont="1" applyFill="1" applyBorder="1" applyAlignment="1">
      <alignment horizontal="left"/>
    </xf>
    <xf numFmtId="0" fontId="23" fillId="20" borderId="37" xfId="0" applyFont="1" applyFill="1" applyBorder="1" applyAlignment="1">
      <alignment horizontal="center" vertical="center" wrapText="1"/>
    </xf>
    <xf numFmtId="165" fontId="66" fillId="9" borderId="30" xfId="0" applyNumberFormat="1" applyFont="1" applyFill="1" applyBorder="1"/>
    <xf numFmtId="165" fontId="64" fillId="9" borderId="38" xfId="0" applyNumberFormat="1" applyFont="1" applyFill="1" applyBorder="1" applyAlignment="1">
      <alignment horizontal="center"/>
    </xf>
    <xf numFmtId="164" fontId="30" fillId="10" borderId="1" xfId="0" applyNumberFormat="1" applyFont="1" applyFill="1" applyBorder="1" applyAlignment="1">
      <alignment horizontal="center" vertical="center"/>
    </xf>
    <xf numFmtId="1" fontId="30" fillId="10" borderId="5" xfId="0" applyNumberFormat="1" applyFont="1" applyFill="1" applyBorder="1" applyAlignment="1">
      <alignment horizontal="center" vertical="center"/>
    </xf>
    <xf numFmtId="170" fontId="65" fillId="18" borderId="1" xfId="0" applyNumberFormat="1" applyFont="1" applyFill="1" applyBorder="1" applyAlignment="1">
      <alignment horizontal="left" vertical="center"/>
    </xf>
    <xf numFmtId="170" fontId="65" fillId="22" borderId="30" xfId="0" applyNumberFormat="1" applyFont="1" applyFill="1" applyBorder="1" applyAlignment="1">
      <alignment horizontal="right"/>
    </xf>
    <xf numFmtId="0" fontId="52" fillId="18" borderId="1" xfId="0" applyFont="1" applyFill="1" applyBorder="1"/>
    <xf numFmtId="0" fontId="0" fillId="18" borderId="1" xfId="0" applyFill="1" applyBorder="1" applyAlignment="1">
      <alignment horizontal="center"/>
    </xf>
    <xf numFmtId="164" fontId="54" fillId="18" borderId="1" xfId="0" applyNumberFormat="1" applyFont="1" applyFill="1" applyBorder="1" applyAlignment="1">
      <alignment horizontal="center"/>
    </xf>
    <xf numFmtId="1" fontId="0" fillId="18" borderId="5" xfId="0" applyNumberFormat="1" applyFill="1" applyBorder="1" applyAlignment="1">
      <alignment horizontal="center"/>
    </xf>
    <xf numFmtId="170" fontId="0" fillId="22" borderId="38" xfId="0" applyNumberFormat="1" applyFill="1" applyBorder="1"/>
    <xf numFmtId="0" fontId="28" fillId="18" borderId="1" xfId="0" applyFont="1" applyFill="1" applyBorder="1" applyAlignment="1">
      <alignment horizontal="center" vertical="center"/>
    </xf>
    <xf numFmtId="0" fontId="66" fillId="18" borderId="1" xfId="0" applyFont="1" applyFill="1" applyBorder="1" applyAlignment="1">
      <alignment vertical="center"/>
    </xf>
    <xf numFmtId="0" fontId="64" fillId="18" borderId="1" xfId="0" applyFont="1" applyFill="1" applyBorder="1" applyAlignment="1">
      <alignment horizontal="center" vertical="center"/>
    </xf>
    <xf numFmtId="170" fontId="17" fillId="21" borderId="38" xfId="0" applyNumberFormat="1" applyFont="1" applyFill="1" applyBorder="1" applyAlignment="1">
      <alignment horizontal="center"/>
    </xf>
    <xf numFmtId="0" fontId="65" fillId="0" borderId="1" xfId="0" applyFont="1" applyBorder="1"/>
    <xf numFmtId="0" fontId="70" fillId="0" borderId="0" xfId="0" applyFont="1"/>
    <xf numFmtId="0" fontId="1" fillId="0" borderId="0" xfId="0" applyFont="1" applyBorder="1"/>
    <xf numFmtId="0" fontId="6" fillId="0" borderId="0" xfId="0" applyFont="1" applyBorder="1" applyAlignment="1">
      <alignment wrapText="1"/>
    </xf>
    <xf numFmtId="0" fontId="5" fillId="0" borderId="0" xfId="0" applyFont="1" applyBorder="1" applyAlignment="1">
      <alignment wrapText="1"/>
    </xf>
    <xf numFmtId="0" fontId="16" fillId="0" borderId="0" xfId="0" applyFont="1" applyBorder="1" applyAlignment="1">
      <alignment wrapText="1"/>
    </xf>
    <xf numFmtId="0" fontId="17" fillId="0" borderId="2" xfId="0" applyFont="1" applyBorder="1" applyAlignment="1">
      <alignment horizontal="center" vertical="center"/>
    </xf>
    <xf numFmtId="0" fontId="61" fillId="7" borderId="32" xfId="0" applyFont="1" applyFill="1" applyBorder="1" applyAlignment="1">
      <alignment horizontal="center" vertical="center" wrapText="1"/>
    </xf>
    <xf numFmtId="0" fontId="61" fillId="7" borderId="33" xfId="0" applyFont="1" applyFill="1" applyBorder="1" applyAlignment="1">
      <alignment horizontal="center" vertical="center" wrapText="1"/>
    </xf>
    <xf numFmtId="0" fontId="59" fillId="7" borderId="32" xfId="0" applyFont="1" applyFill="1" applyBorder="1" applyAlignment="1">
      <alignment horizontal="right" vertical="center" wrapText="1"/>
    </xf>
    <xf numFmtId="0" fontId="59" fillId="7" borderId="33" xfId="0" applyFont="1" applyFill="1" applyBorder="1" applyAlignment="1">
      <alignment horizontal="right" vertical="center" wrapText="1"/>
    </xf>
    <xf numFmtId="0" fontId="7" fillId="0" borderId="0" xfId="0" applyFont="1" applyBorder="1" applyAlignment="1">
      <alignment wrapText="1"/>
    </xf>
    <xf numFmtId="0" fontId="38" fillId="0" borderId="23" xfId="0" applyFont="1" applyBorder="1" applyAlignment="1">
      <alignment vertical="center"/>
    </xf>
    <xf numFmtId="0" fontId="23" fillId="0" borderId="20" xfId="0" applyFont="1" applyBorder="1" applyAlignment="1">
      <alignment horizontal="right"/>
    </xf>
    <xf numFmtId="0" fontId="23" fillId="0" borderId="0" xfId="0" applyFont="1" applyBorder="1" applyAlignment="1">
      <alignment horizontal="right"/>
    </xf>
    <xf numFmtId="0" fontId="27" fillId="0" borderId="0" xfId="0" applyFont="1" applyBorder="1"/>
    <xf numFmtId="0" fontId="1" fillId="0" borderId="0" xfId="0" applyFont="1" applyBorder="1" applyAlignment="1">
      <alignment vertical="center"/>
    </xf>
    <xf numFmtId="0" fontId="52" fillId="19" borderId="32" xfId="0" applyFont="1" applyFill="1" applyBorder="1" applyAlignment="1">
      <alignment horizontal="center" vertical="top"/>
    </xf>
    <xf numFmtId="0" fontId="52" fillId="19" borderId="33" xfId="0" applyFont="1" applyFill="1" applyBorder="1" applyAlignment="1">
      <alignment horizontal="center" vertical="top"/>
    </xf>
  </cellXfs>
  <cellStyles count="1">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5614FC"/>
    </mru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25400</xdr:colOff>
      <xdr:row>9</xdr:row>
      <xdr:rowOff>25400</xdr:rowOff>
    </xdr:from>
    <xdr:to>
      <xdr:col>4</xdr:col>
      <xdr:colOff>273050</xdr:colOff>
      <xdr:row>9</xdr:row>
      <xdr:rowOff>171450</xdr:rowOff>
    </xdr:to>
    <xdr:sp macro="" textlink="">
      <xdr:nvSpPr>
        <xdr:cNvPr id="2" name="Left Bracket 1"/>
        <xdr:cNvSpPr/>
      </xdr:nvSpPr>
      <xdr:spPr>
        <a:xfrm>
          <a:off x="25400" y="2000250"/>
          <a:ext cx="3810000" cy="146050"/>
        </a:xfrm>
        <a:prstGeom prst="leftBracket">
          <a:avLst/>
        </a:prstGeom>
      </xdr:spPr>
      <xdr:style>
        <a:lnRef idx="1">
          <a:schemeClr val="accent1"/>
        </a:lnRef>
        <a:fillRef idx="0">
          <a:schemeClr val="accent1"/>
        </a:fillRef>
        <a:effectRef idx="0">
          <a:schemeClr val="accent1"/>
        </a:effectRef>
        <a:fontRef idx="minor">
          <a:schemeClr val="tx1"/>
        </a:fontRef>
      </xdr:style>
      <xdr:txBody>
        <a:bodyPr rtlCol="0" anchor="ctr"/>
        <a:lstStyle/>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13855</xdr:colOff>
      <xdr:row>7</xdr:row>
      <xdr:rowOff>83127</xdr:rowOff>
    </xdr:from>
    <xdr:to>
      <xdr:col>8</xdr:col>
      <xdr:colOff>110836</xdr:colOff>
      <xdr:row>16</xdr:row>
      <xdr:rowOff>55418</xdr:rowOff>
    </xdr:to>
    <xdr:cxnSp macro="">
      <xdr:nvCxnSpPr>
        <xdr:cNvPr id="3" name="Straight Arrow Connector 2"/>
        <xdr:cNvCxnSpPr/>
      </xdr:nvCxnSpPr>
      <xdr:spPr>
        <a:xfrm flipV="1">
          <a:off x="4537364" y="1752600"/>
          <a:ext cx="2854036" cy="1925782"/>
        </a:xfrm>
        <a:prstGeom prst="straightConnector1">
          <a:avLst/>
        </a:prstGeom>
        <a:ln w="22225">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228600</xdr:colOff>
      <xdr:row>10</xdr:row>
      <xdr:rowOff>167640</xdr:rowOff>
    </xdr:from>
    <xdr:to>
      <xdr:col>8</xdr:col>
      <xdr:colOff>0</xdr:colOff>
      <xdr:row>11</xdr:row>
      <xdr:rowOff>7620</xdr:rowOff>
    </xdr:to>
    <xdr:cxnSp macro="">
      <xdr:nvCxnSpPr>
        <xdr:cNvPr id="8" name="Straight Arrow Connector 7"/>
        <xdr:cNvCxnSpPr/>
      </xdr:nvCxnSpPr>
      <xdr:spPr>
        <a:xfrm rot="10800000">
          <a:off x="914400" y="2484120"/>
          <a:ext cx="5867400" cy="38100"/>
        </a:xfrm>
        <a:prstGeom prst="straightConnector1">
          <a:avLst/>
        </a:prstGeom>
        <a:ln w="25400">
          <a:solidFill>
            <a:srgbClr val="C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525780</xdr:colOff>
      <xdr:row>18</xdr:row>
      <xdr:rowOff>167640</xdr:rowOff>
    </xdr:from>
    <xdr:to>
      <xdr:col>16</xdr:col>
      <xdr:colOff>510540</xdr:colOff>
      <xdr:row>25</xdr:row>
      <xdr:rowOff>121920</xdr:rowOff>
    </xdr:to>
    <xdr:cxnSp macro="">
      <xdr:nvCxnSpPr>
        <xdr:cNvPr id="9" name="Straight Arrow Connector 8"/>
        <xdr:cNvCxnSpPr/>
      </xdr:nvCxnSpPr>
      <xdr:spPr>
        <a:xfrm rot="5400000" flipH="1" flipV="1">
          <a:off x="12805410" y="4659630"/>
          <a:ext cx="1089660" cy="579120"/>
        </a:xfrm>
        <a:prstGeom prst="straightConnector1">
          <a:avLst/>
        </a:prstGeom>
        <a:ln w="19050">
          <a:solidFill>
            <a:srgbClr val="C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685800</xdr:colOff>
      <xdr:row>12</xdr:row>
      <xdr:rowOff>60960</xdr:rowOff>
    </xdr:from>
    <xdr:to>
      <xdr:col>8</xdr:col>
      <xdr:colOff>449580</xdr:colOff>
      <xdr:row>24</xdr:row>
      <xdr:rowOff>68580</xdr:rowOff>
    </xdr:to>
    <xdr:cxnSp macro="">
      <xdr:nvCxnSpPr>
        <xdr:cNvPr id="14" name="Straight Arrow Connector 13"/>
        <xdr:cNvCxnSpPr/>
      </xdr:nvCxnSpPr>
      <xdr:spPr>
        <a:xfrm flipV="1">
          <a:off x="4114800" y="2880360"/>
          <a:ext cx="3116580" cy="2583180"/>
        </a:xfrm>
        <a:prstGeom prst="straightConnector1">
          <a:avLst/>
        </a:prstGeom>
        <a:ln w="19050">
          <a:solidFill>
            <a:srgbClr val="C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312420</xdr:colOff>
      <xdr:row>13</xdr:row>
      <xdr:rowOff>129540</xdr:rowOff>
    </xdr:from>
    <xdr:to>
      <xdr:col>8</xdr:col>
      <xdr:colOff>579120</xdr:colOff>
      <xdr:row>25</xdr:row>
      <xdr:rowOff>99060</xdr:rowOff>
    </xdr:to>
    <xdr:cxnSp macro="">
      <xdr:nvCxnSpPr>
        <xdr:cNvPr id="17" name="Straight Arrow Connector 16"/>
        <xdr:cNvCxnSpPr/>
      </xdr:nvCxnSpPr>
      <xdr:spPr>
        <a:xfrm rot="5400000" flipH="1" flipV="1">
          <a:off x="5276850" y="3882390"/>
          <a:ext cx="3413760" cy="2796540"/>
        </a:xfrm>
        <a:prstGeom prst="straightConnector1">
          <a:avLst/>
        </a:prstGeom>
        <a:ln w="19050">
          <a:solidFill>
            <a:srgbClr val="C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601980</xdr:colOff>
      <xdr:row>1</xdr:row>
      <xdr:rowOff>106680</xdr:rowOff>
    </xdr:from>
    <xdr:to>
      <xdr:col>9</xdr:col>
      <xdr:colOff>129540</xdr:colOff>
      <xdr:row>10</xdr:row>
      <xdr:rowOff>83820</xdr:rowOff>
    </xdr:to>
    <xdr:cxnSp macro="">
      <xdr:nvCxnSpPr>
        <xdr:cNvPr id="11" name="Straight Arrow Connector 10"/>
        <xdr:cNvCxnSpPr/>
      </xdr:nvCxnSpPr>
      <xdr:spPr>
        <a:xfrm rot="10800000" flipV="1">
          <a:off x="5052060" y="312420"/>
          <a:ext cx="3863340" cy="2423160"/>
        </a:xfrm>
        <a:prstGeom prst="straightConnector1">
          <a:avLst/>
        </a:prstGeom>
        <a:ln w="19050">
          <a:solidFill>
            <a:srgbClr val="C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579120</xdr:colOff>
      <xdr:row>2</xdr:row>
      <xdr:rowOff>144780</xdr:rowOff>
    </xdr:from>
    <xdr:to>
      <xdr:col>9</xdr:col>
      <xdr:colOff>83820</xdr:colOff>
      <xdr:row>10</xdr:row>
      <xdr:rowOff>99060</xdr:rowOff>
    </xdr:to>
    <xdr:cxnSp macro="">
      <xdr:nvCxnSpPr>
        <xdr:cNvPr id="16" name="Straight Arrow Connector 15"/>
        <xdr:cNvCxnSpPr/>
      </xdr:nvCxnSpPr>
      <xdr:spPr>
        <a:xfrm rot="10800000" flipV="1">
          <a:off x="5852160" y="579120"/>
          <a:ext cx="3017520" cy="2171700"/>
        </a:xfrm>
        <a:prstGeom prst="straightConnector1">
          <a:avLst/>
        </a:prstGeom>
        <a:ln w="19050">
          <a:solidFill>
            <a:srgbClr val="C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579120</xdr:colOff>
      <xdr:row>3</xdr:row>
      <xdr:rowOff>152400</xdr:rowOff>
    </xdr:from>
    <xdr:to>
      <xdr:col>9</xdr:col>
      <xdr:colOff>152400</xdr:colOff>
      <xdr:row>10</xdr:row>
      <xdr:rowOff>91440</xdr:rowOff>
    </xdr:to>
    <xdr:cxnSp macro="">
      <xdr:nvCxnSpPr>
        <xdr:cNvPr id="23" name="Straight Arrow Connector 22"/>
        <xdr:cNvCxnSpPr/>
      </xdr:nvCxnSpPr>
      <xdr:spPr>
        <a:xfrm rot="10800000" flipV="1">
          <a:off x="6675120" y="868680"/>
          <a:ext cx="2263140" cy="1874520"/>
        </a:xfrm>
        <a:prstGeom prst="straightConnector1">
          <a:avLst/>
        </a:prstGeom>
        <a:ln w="19050">
          <a:solidFill>
            <a:srgbClr val="C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510540</xdr:colOff>
      <xdr:row>15</xdr:row>
      <xdr:rowOff>220980</xdr:rowOff>
    </xdr:from>
    <xdr:to>
      <xdr:col>8</xdr:col>
      <xdr:colOff>541020</xdr:colOff>
      <xdr:row>25</xdr:row>
      <xdr:rowOff>114300</xdr:rowOff>
    </xdr:to>
    <xdr:cxnSp macro="">
      <xdr:nvCxnSpPr>
        <xdr:cNvPr id="38" name="Straight Arrow Connector 37"/>
        <xdr:cNvCxnSpPr/>
      </xdr:nvCxnSpPr>
      <xdr:spPr>
        <a:xfrm flipV="1">
          <a:off x="4960620" y="4259580"/>
          <a:ext cx="3383280" cy="2743200"/>
        </a:xfrm>
        <a:prstGeom prst="straightConnector1">
          <a:avLst/>
        </a:prstGeom>
        <a:ln w="19050">
          <a:solidFill>
            <a:srgbClr val="C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A1:H11"/>
  <sheetViews>
    <sheetView tabSelected="1" zoomScale="120" zoomScaleNormal="120" workbookViewId="0">
      <selection activeCell="F3" sqref="F3"/>
    </sheetView>
  </sheetViews>
  <sheetFormatPr defaultColWidth="8.6640625" defaultRowHeight="14.4"/>
  <cols>
    <col min="1" max="1" width="8" customWidth="1"/>
    <col min="2" max="3" width="14" customWidth="1"/>
    <col min="4" max="4" width="16" customWidth="1"/>
    <col min="5" max="5" width="6.33203125" customWidth="1"/>
    <col min="6" max="6" width="11.21875" customWidth="1"/>
  </cols>
  <sheetData>
    <row r="1" spans="1:8" ht="18">
      <c r="A1" s="181" t="s">
        <v>223</v>
      </c>
      <c r="B1" s="181"/>
      <c r="C1" s="181"/>
      <c r="D1" s="181"/>
      <c r="E1" s="181"/>
      <c r="F1" s="25" t="s">
        <v>126</v>
      </c>
    </row>
    <row r="3" spans="1:8" ht="27.6">
      <c r="A3" s="1" t="s">
        <v>0</v>
      </c>
      <c r="B3" s="1" t="s">
        <v>1</v>
      </c>
      <c r="C3" s="1" t="s">
        <v>2</v>
      </c>
      <c r="D3" s="1" t="s">
        <v>3</v>
      </c>
      <c r="F3" s="1" t="s">
        <v>4</v>
      </c>
    </row>
    <row r="4" spans="1:8">
      <c r="A4" s="2">
        <v>1</v>
      </c>
      <c r="B4" s="3">
        <v>10000</v>
      </c>
      <c r="C4" s="3">
        <v>45000</v>
      </c>
      <c r="D4" s="4">
        <v>720</v>
      </c>
      <c r="F4" s="5">
        <v>70</v>
      </c>
    </row>
    <row r="5" spans="1:8">
      <c r="A5" s="2">
        <v>2</v>
      </c>
      <c r="B5" s="3">
        <v>15000</v>
      </c>
      <c r="C5" s="3">
        <v>60000</v>
      </c>
      <c r="D5" s="4">
        <v>680</v>
      </c>
      <c r="F5" s="5">
        <v>40</v>
      </c>
    </row>
    <row r="6" spans="1:8">
      <c r="A6" s="2">
        <v>3</v>
      </c>
      <c r="B6" s="3">
        <v>85000</v>
      </c>
      <c r="C6" s="3">
        <v>85000</v>
      </c>
      <c r="D6" s="4">
        <v>750</v>
      </c>
      <c r="F6" s="5">
        <v>80</v>
      </c>
    </row>
    <row r="7" spans="1:8">
      <c r="A7" s="2">
        <v>4</v>
      </c>
      <c r="B7" s="3">
        <v>12000</v>
      </c>
      <c r="C7" s="3">
        <v>50000</v>
      </c>
      <c r="D7" s="4">
        <v>690</v>
      </c>
      <c r="F7" s="5">
        <v>30</v>
      </c>
    </row>
    <row r="8" spans="1:8" ht="22.8">
      <c r="A8" s="2">
        <v>5</v>
      </c>
      <c r="B8" s="3">
        <v>25000</v>
      </c>
      <c r="C8" s="26">
        <v>100000</v>
      </c>
      <c r="D8" s="27">
        <v>800</v>
      </c>
      <c r="F8" s="28">
        <v>75</v>
      </c>
    </row>
    <row r="9" spans="1:8">
      <c r="A9" s="6" t="s">
        <v>5</v>
      </c>
      <c r="B9" s="7">
        <f>AVERAGE(B4:B8)</f>
        <v>29400</v>
      </c>
      <c r="C9" s="7">
        <f>AVERAGE(C4:C8)</f>
        <v>68000</v>
      </c>
      <c r="D9" s="8">
        <f>AVERAGE(D4:D8)</f>
        <v>728</v>
      </c>
      <c r="F9" s="9">
        <f>AVERAGE(F4:F8)</f>
        <v>59</v>
      </c>
    </row>
    <row r="11" spans="1:8" ht="40.799999999999997" customHeight="1">
      <c r="A11" s="182" t="s">
        <v>6</v>
      </c>
      <c r="B11" s="182"/>
      <c r="C11" s="182"/>
      <c r="D11" s="182"/>
      <c r="E11" s="182"/>
      <c r="F11" s="182"/>
      <c r="G11" s="182"/>
      <c r="H11" s="182"/>
    </row>
  </sheetData>
  <mergeCells count="2">
    <mergeCell ref="A1:E1"/>
    <mergeCell ref="A11:H11"/>
  </mergeCells>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dimension ref="A1:Q17"/>
  <sheetViews>
    <sheetView zoomScale="110" zoomScaleNormal="110" workbookViewId="0">
      <selection activeCell="N14" sqref="N14"/>
    </sheetView>
  </sheetViews>
  <sheetFormatPr defaultColWidth="8.6640625" defaultRowHeight="14.4"/>
  <cols>
    <col min="1" max="1" width="14.5546875" customWidth="1"/>
    <col min="2" max="2" width="16" customWidth="1"/>
    <col min="3" max="3" width="25.44140625" customWidth="1"/>
    <col min="4" max="6" width="10" customWidth="1"/>
    <col min="8" max="8" width="11.5546875" customWidth="1"/>
    <col min="12" max="12" width="2.21875" customWidth="1"/>
    <col min="13" max="13" width="12.44140625" customWidth="1"/>
    <col min="14" max="14" width="14.88671875" customWidth="1"/>
    <col min="16" max="16" width="15.88671875" customWidth="1"/>
  </cols>
  <sheetData>
    <row r="1" spans="1:17" ht="27.6" customHeight="1">
      <c r="A1" s="29" t="s">
        <v>7</v>
      </c>
      <c r="B1" s="29"/>
      <c r="C1" s="29"/>
      <c r="D1" s="29"/>
      <c r="E1" s="29"/>
      <c r="H1" s="181" t="s">
        <v>222</v>
      </c>
      <c r="I1" s="181"/>
      <c r="J1" s="181"/>
      <c r="K1" s="181"/>
      <c r="L1" s="181"/>
      <c r="M1" s="186" t="s">
        <v>225</v>
      </c>
      <c r="N1" s="188" t="s">
        <v>224</v>
      </c>
      <c r="P1" s="185" t="s">
        <v>126</v>
      </c>
      <c r="Q1" s="185"/>
    </row>
    <row r="2" spans="1:17" ht="15" thickBot="1">
      <c r="H2" s="36" t="s">
        <v>0</v>
      </c>
      <c r="I2" s="36" t="s">
        <v>16</v>
      </c>
      <c r="J2" s="36" t="s">
        <v>17</v>
      </c>
      <c r="K2" s="113" t="s">
        <v>18</v>
      </c>
      <c r="L2" s="114"/>
      <c r="M2" s="187"/>
      <c r="N2" s="189"/>
      <c r="P2" s="33" t="s">
        <v>128</v>
      </c>
      <c r="Q2" s="32" t="s">
        <v>16</v>
      </c>
    </row>
    <row r="3" spans="1:17" ht="41.4" customHeight="1">
      <c r="A3" s="183" t="s">
        <v>8</v>
      </c>
      <c r="B3" s="183"/>
      <c r="C3" s="183"/>
      <c r="D3" s="183"/>
      <c r="E3" s="183"/>
      <c r="F3" s="183"/>
      <c r="H3" s="37">
        <v>1</v>
      </c>
      <c r="I3" s="38">
        <v>10000</v>
      </c>
      <c r="J3" s="38">
        <v>45000</v>
      </c>
      <c r="K3" s="146">
        <v>720</v>
      </c>
      <c r="L3" s="115"/>
      <c r="M3" s="141">
        <v>0.7</v>
      </c>
      <c r="N3" s="145">
        <f>$B$5 +           $B$6*I3 +    $B$7*J3 +      $B$8*K3</f>
        <v>63.613415142020983</v>
      </c>
      <c r="P3" s="33" t="s">
        <v>129</v>
      </c>
      <c r="Q3" s="34" t="s">
        <v>17</v>
      </c>
    </row>
    <row r="4" spans="1:17">
      <c r="H4" s="37">
        <v>2</v>
      </c>
      <c r="I4" s="38">
        <v>15000</v>
      </c>
      <c r="J4" s="38">
        <v>60000</v>
      </c>
      <c r="K4" s="146">
        <v>680</v>
      </c>
      <c r="L4" s="115"/>
      <c r="M4" s="142">
        <v>0.4</v>
      </c>
      <c r="N4" s="138">
        <f>$B$5 +           $B$6*I4 +    $B$7*J4 +      $B$8*K4</f>
        <v>31.827177037020988</v>
      </c>
      <c r="P4" s="33" t="s">
        <v>130</v>
      </c>
      <c r="Q4" s="34" t="s">
        <v>18</v>
      </c>
    </row>
    <row r="5" spans="1:17">
      <c r="A5" s="35" t="s">
        <v>9</v>
      </c>
      <c r="B5" s="31">
        <v>-321.583896967979</v>
      </c>
      <c r="H5" s="37">
        <v>3</v>
      </c>
      <c r="I5" s="38">
        <v>85000</v>
      </c>
      <c r="J5" s="38">
        <v>85000</v>
      </c>
      <c r="K5" s="146">
        <v>750</v>
      </c>
      <c r="L5" s="115"/>
      <c r="M5" s="142">
        <v>0.8</v>
      </c>
      <c r="N5" s="138">
        <f>$B$5 +           $B$6*I5 +    $B$7*J5 +      $B$8*K5</f>
        <v>79.981197367020968</v>
      </c>
      <c r="P5" s="33" t="s">
        <v>4</v>
      </c>
      <c r="Q5" s="34" t="s">
        <v>127</v>
      </c>
    </row>
    <row r="6" spans="1:17">
      <c r="A6" s="35" t="s">
        <v>10</v>
      </c>
      <c r="B6" s="30">
        <v>3.6724268299999997E-4</v>
      </c>
      <c r="C6" s="106" t="s">
        <v>1</v>
      </c>
      <c r="H6" s="37">
        <v>4</v>
      </c>
      <c r="I6" s="38">
        <v>12000</v>
      </c>
      <c r="J6" s="38">
        <v>50000</v>
      </c>
      <c r="K6" s="146">
        <v>690</v>
      </c>
      <c r="L6" s="115"/>
      <c r="M6" s="142">
        <v>0.3</v>
      </c>
      <c r="N6" s="138">
        <f>$B$5 +           $B$6*I6 +    $B$7*J6 +      $B$8*K6</f>
        <v>43.569142068020994</v>
      </c>
    </row>
    <row r="7" spans="1:17" ht="15" thickBot="1">
      <c r="A7" s="35" t="s">
        <v>11</v>
      </c>
      <c r="B7" s="30">
        <v>-7.1009283199999999E-4</v>
      </c>
      <c r="C7" s="106" t="s">
        <v>2</v>
      </c>
      <c r="H7" s="107">
        <v>5</v>
      </c>
      <c r="I7" s="108">
        <v>25000</v>
      </c>
      <c r="J7" s="109">
        <v>100000</v>
      </c>
      <c r="K7" s="147">
        <v>800</v>
      </c>
      <c r="L7" s="115"/>
      <c r="M7" s="143">
        <v>0.75</v>
      </c>
      <c r="N7" s="138">
        <f>$B$5 +           $B$6*I7 +    $B$7*J7 +      $B$8*K7</f>
        <v>76.009067707021018</v>
      </c>
    </row>
    <row r="8" spans="1:17" ht="21.6" thickBot="1">
      <c r="A8" s="35" t="s">
        <v>12</v>
      </c>
      <c r="B8" s="30">
        <v>0.57427647599999998</v>
      </c>
      <c r="C8" s="106" t="s">
        <v>3</v>
      </c>
      <c r="H8" s="110" t="s">
        <v>5</v>
      </c>
      <c r="I8" s="111">
        <f>AVERAGE(I3:I7)</f>
        <v>29400</v>
      </c>
      <c r="J8" s="111">
        <f>AVERAGE(J3:J7)</f>
        <v>68000</v>
      </c>
      <c r="K8" s="112">
        <f>AVERAGE(K3:K7)</f>
        <v>728</v>
      </c>
      <c r="L8" s="116"/>
      <c r="M8" s="144">
        <f>AVERAGE(M3:M7)</f>
        <v>0.59000000000000008</v>
      </c>
    </row>
    <row r="9" spans="1:17" ht="15" thickBot="1">
      <c r="I9" s="117" t="s">
        <v>16</v>
      </c>
      <c r="J9" s="117" t="s">
        <v>17</v>
      </c>
      <c r="K9" s="117" t="s">
        <v>18</v>
      </c>
      <c r="L9" s="52"/>
    </row>
    <row r="10" spans="1:17" ht="32.4" customHeight="1" thickBot="1">
      <c r="A10" s="184" t="s">
        <v>13</v>
      </c>
      <c r="B10" s="184"/>
      <c r="C10" s="184"/>
      <c r="D10" s="184"/>
      <c r="E10" s="184"/>
      <c r="F10" s="184"/>
      <c r="I10" s="124" t="s">
        <v>216</v>
      </c>
      <c r="J10" s="125" t="s">
        <v>213</v>
      </c>
      <c r="K10" s="126" t="s">
        <v>214</v>
      </c>
      <c r="L10" s="52"/>
      <c r="M10" s="118" t="s">
        <v>217</v>
      </c>
    </row>
    <row r="11" spans="1:17">
      <c r="H11" t="s">
        <v>220</v>
      </c>
      <c r="I11" t="s">
        <v>215</v>
      </c>
      <c r="L11" s="52"/>
    </row>
    <row r="12" spans="1:17">
      <c r="L12" s="52"/>
    </row>
    <row r="14" spans="1:17" ht="18">
      <c r="A14" s="127" t="s">
        <v>221</v>
      </c>
    </row>
    <row r="15" spans="1:17" ht="20.399999999999999">
      <c r="A15" s="6" t="s">
        <v>14</v>
      </c>
      <c r="D15" s="139">
        <f>B5 + B6*Dataset!B9 + B7*Dataset!C9 + B8*Dataset!D9</f>
        <v>58.999999864221024</v>
      </c>
    </row>
    <row r="16" spans="1:17" ht="21">
      <c r="D16" s="140"/>
    </row>
    <row r="17" spans="1:4" ht="20.399999999999999">
      <c r="A17" s="123" t="s">
        <v>219</v>
      </c>
      <c r="D17" s="139">
        <f>B5 +       B6* I8 +  B7*J8  +  B8* K8</f>
        <v>58.999999864221024</v>
      </c>
    </row>
  </sheetData>
  <mergeCells count="6">
    <mergeCell ref="A3:F3"/>
    <mergeCell ref="A10:F10"/>
    <mergeCell ref="P1:Q1"/>
    <mergeCell ref="H1:L1"/>
    <mergeCell ref="M1:M2"/>
    <mergeCell ref="N1:N2"/>
  </mergeCells>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dimension ref="A1:R41"/>
  <sheetViews>
    <sheetView topLeftCell="A20" workbookViewId="0">
      <selection activeCell="D25" sqref="D25"/>
    </sheetView>
  </sheetViews>
  <sheetFormatPr defaultColWidth="8.6640625" defaultRowHeight="14.4"/>
  <cols>
    <col min="1" max="1" width="10" customWidth="1"/>
    <col min="2" max="2" width="22" customWidth="1"/>
    <col min="3" max="3" width="22.88671875" customWidth="1"/>
    <col min="4" max="4" width="10" customWidth="1"/>
    <col min="5" max="7" width="12" customWidth="1"/>
    <col min="8" max="8" width="12.88671875" customWidth="1"/>
    <col min="9" max="9" width="14.33203125" customWidth="1"/>
    <col min="11" max="11" width="19.44140625" customWidth="1"/>
    <col min="13" max="13" width="17.77734375" customWidth="1"/>
    <col min="17" max="17" width="10.77734375" bestFit="1" customWidth="1"/>
  </cols>
  <sheetData>
    <row r="1" spans="1:14" ht="16.2" customHeight="1">
      <c r="A1" s="190" t="s">
        <v>26</v>
      </c>
      <c r="B1" s="190"/>
      <c r="C1" s="190"/>
      <c r="D1" s="190"/>
      <c r="E1" s="190"/>
      <c r="F1" s="190"/>
      <c r="G1" s="190"/>
      <c r="H1" s="190"/>
      <c r="J1" s="122" t="s">
        <v>5</v>
      </c>
      <c r="K1" t="s">
        <v>218</v>
      </c>
    </row>
    <row r="2" spans="1:14" ht="18">
      <c r="J2" s="122">
        <v>29400</v>
      </c>
    </row>
    <row r="3" spans="1:14" ht="22.35" customHeight="1">
      <c r="A3" s="183" t="s">
        <v>27</v>
      </c>
      <c r="B3" s="183"/>
      <c r="C3" s="183"/>
      <c r="D3" s="183"/>
      <c r="E3" s="183"/>
      <c r="F3" s="183"/>
      <c r="G3" s="183"/>
      <c r="H3" s="183"/>
      <c r="J3" s="122">
        <v>68000</v>
      </c>
    </row>
    <row r="4" spans="1:14" ht="18">
      <c r="J4" s="122">
        <v>728</v>
      </c>
    </row>
    <row r="5" spans="1:14">
      <c r="A5" s="6" t="s">
        <v>28</v>
      </c>
    </row>
    <row r="6" spans="1:14" ht="22.2" customHeight="1">
      <c r="D6" s="36" t="s">
        <v>0</v>
      </c>
      <c r="E6" s="36" t="s">
        <v>16</v>
      </c>
      <c r="F6" s="36" t="s">
        <v>17</v>
      </c>
      <c r="G6" s="36" t="s">
        <v>18</v>
      </c>
    </row>
    <row r="7" spans="1:14" ht="39.6" customHeight="1" thickBot="1">
      <c r="D7" s="37">
        <v>1</v>
      </c>
      <c r="E7" s="38">
        <v>10000</v>
      </c>
      <c r="F7" s="38">
        <v>45000</v>
      </c>
      <c r="G7" s="39">
        <v>720</v>
      </c>
      <c r="K7" s="43" t="s">
        <v>24</v>
      </c>
      <c r="M7" s="73" t="s">
        <v>9</v>
      </c>
      <c r="N7" s="71">
        <v>-321.583896967979</v>
      </c>
    </row>
    <row r="8" spans="1:14" ht="26.4" customHeight="1">
      <c r="D8" s="37">
        <v>2</v>
      </c>
      <c r="E8" s="129">
        <v>15000</v>
      </c>
      <c r="F8" s="129">
        <v>60000</v>
      </c>
      <c r="G8" s="148">
        <v>680</v>
      </c>
      <c r="H8" s="196" t="s">
        <v>226</v>
      </c>
      <c r="K8" s="74">
        <v>63.613415142021026</v>
      </c>
      <c r="M8" s="73" t="s">
        <v>10</v>
      </c>
      <c r="N8" s="72">
        <v>3.6724268299999997E-4</v>
      </c>
    </row>
    <row r="9" spans="1:14" ht="16.2" thickBot="1">
      <c r="A9" s="6" t="s">
        <v>29</v>
      </c>
      <c r="H9" s="197"/>
      <c r="K9" s="74">
        <v>31.827177037021023</v>
      </c>
      <c r="M9" s="73" t="s">
        <v>11</v>
      </c>
      <c r="N9" s="72">
        <v>-7.1009283199999999E-4</v>
      </c>
    </row>
    <row r="10" spans="1:14" ht="15.6">
      <c r="A10" s="1" t="s">
        <v>30</v>
      </c>
      <c r="B10" s="1" t="s">
        <v>31</v>
      </c>
      <c r="C10" s="1" t="s">
        <v>32</v>
      </c>
      <c r="D10" s="1" t="s">
        <v>33</v>
      </c>
      <c r="E10" s="1" t="s">
        <v>34</v>
      </c>
      <c r="F10" s="1" t="s">
        <v>35</v>
      </c>
      <c r="G10" s="149" t="s">
        <v>36</v>
      </c>
      <c r="H10" s="163" t="s">
        <v>37</v>
      </c>
      <c r="I10" s="155" t="s">
        <v>143</v>
      </c>
      <c r="K10" s="74">
        <v>79.981197367021025</v>
      </c>
      <c r="M10" s="73" t="s">
        <v>12</v>
      </c>
      <c r="N10" s="72">
        <v>0.57427647599999998</v>
      </c>
    </row>
    <row r="11" spans="1:14" ht="23.4">
      <c r="A11" s="10" t="s">
        <v>38</v>
      </c>
      <c r="B11" s="63">
        <v>0</v>
      </c>
      <c r="C11" s="63">
        <v>0</v>
      </c>
      <c r="D11" s="63">
        <v>0</v>
      </c>
      <c r="E11" s="166">
        <f>IF(B11=1,$E$8,Dataset!$B$9)</f>
        <v>29400</v>
      </c>
      <c r="F11" s="166">
        <f>IF(C11=1,$F$8,Dataset!$C$9)</f>
        <v>68000</v>
      </c>
      <c r="G11" s="167">
        <f>IF(D11=1,$G$8,Dataset!$D$9)</f>
        <v>728</v>
      </c>
      <c r="H11" s="165">
        <f>'Model &amp; Baseline'!$B$5 + 'Model &amp; Baseline'!$B$6*E11 + 'Model &amp; Baseline'!$B$7*F11 + 'Model &amp; Baseline'!$B$8*G11</f>
        <v>58.999999864221024</v>
      </c>
      <c r="I11" s="164">
        <f xml:space="preserve"> $N$7 + $N$8*E11 + $N$9*F11 + $N$10*G11</f>
        <v>58.999999864221024</v>
      </c>
      <c r="K11" s="74">
        <v>43.569142068021023</v>
      </c>
    </row>
    <row r="12" spans="1:14" ht="15.6">
      <c r="A12" s="46"/>
      <c r="B12" s="47"/>
      <c r="C12" s="47"/>
      <c r="D12" s="47"/>
      <c r="E12" s="47"/>
      <c r="F12" s="47"/>
      <c r="G12" s="47"/>
      <c r="H12" s="158"/>
      <c r="I12" s="157"/>
      <c r="K12" s="44"/>
    </row>
    <row r="13" spans="1:14" ht="23.4">
      <c r="A13" s="119" t="s">
        <v>39</v>
      </c>
      <c r="B13" s="62">
        <v>1</v>
      </c>
      <c r="C13" s="2">
        <v>0</v>
      </c>
      <c r="D13" s="2">
        <v>0</v>
      </c>
      <c r="E13" s="61">
        <f>IF(B13=1,$E$8,   Dataset!$B$9)</f>
        <v>15000</v>
      </c>
      <c r="F13" s="120">
        <f>IF(C13=1,$F$8,   Dataset!$C$9)</f>
        <v>68000</v>
      </c>
      <c r="G13" s="150">
        <f>IF(D13=1, $G$8,   Dataset!$D$9)</f>
        <v>728</v>
      </c>
      <c r="H13" s="159">
        <f>'Model &amp; Baseline'!$B$5 + 'Model &amp; Baseline'!$B$6*E13 + 'Model &amp; Baseline'!$B$7*F13 + 'Model &amp; Baseline'!$B$8*G13</f>
        <v>53.711705229020993</v>
      </c>
      <c r="I13" s="156">
        <f t="shared" ref="I13:I19" si="0" xml:space="preserve"> $N$7 + $N$8*E13 + $N$9*F13 + $N$10*G13</f>
        <v>53.711705229020993</v>
      </c>
      <c r="K13" s="44">
        <v>76.009067707021018</v>
      </c>
    </row>
    <row r="14" spans="1:14" ht="23.4">
      <c r="A14" s="119" t="s">
        <v>40</v>
      </c>
      <c r="B14" s="2">
        <v>0</v>
      </c>
      <c r="C14" s="62">
        <v>1</v>
      </c>
      <c r="D14" s="2">
        <v>0</v>
      </c>
      <c r="E14" s="120">
        <f>IF(B14=1,$E$8,Dataset!$B$9)</f>
        <v>29400</v>
      </c>
      <c r="F14" s="61">
        <f>IF(C14=1,$F$8,Dataset!$C$9)</f>
        <v>60000</v>
      </c>
      <c r="G14" s="150">
        <f>IF(D14=1,$G$8,Dataset!$D$9)</f>
        <v>728</v>
      </c>
      <c r="H14" s="159">
        <f>'Model &amp; Baseline'!$B$5 + 'Model &amp; Baseline'!$B$6*E14 + 'Model &amp; Baseline'!$B$7*F14 + 'Model &amp; Baseline'!$B$8*G14</f>
        <v>64.680742520221031</v>
      </c>
      <c r="I14" s="156">
        <f t="shared" si="0"/>
        <v>64.680742520221031</v>
      </c>
    </row>
    <row r="15" spans="1:14" ht="23.4">
      <c r="A15" s="119" t="s">
        <v>41</v>
      </c>
      <c r="B15" s="2">
        <v>0</v>
      </c>
      <c r="C15" s="2">
        <v>0</v>
      </c>
      <c r="D15" s="62">
        <v>1</v>
      </c>
      <c r="E15" s="120">
        <f>IF(B15=1,$E$8,Dataset!$B$9)</f>
        <v>29400</v>
      </c>
      <c r="F15" s="120">
        <f>IF(C15=1,$F$8,Dataset!$C$9)</f>
        <v>68000</v>
      </c>
      <c r="G15" s="151">
        <f>IF(D15=1,$G$8,Dataset!$D$9)</f>
        <v>680</v>
      </c>
      <c r="H15" s="159">
        <f>'Model &amp; Baseline'!$B$5 + 'Model &amp; Baseline'!$B$6*E15 + 'Model &amp; Baseline'!$B$7*F15 + 'Model &amp; Baseline'!$B$8*G15</f>
        <v>31.434729016221013</v>
      </c>
      <c r="I15" s="156">
        <f t="shared" si="0"/>
        <v>31.434729016221013</v>
      </c>
    </row>
    <row r="16" spans="1:14" ht="21">
      <c r="A16" s="170" t="s">
        <v>42</v>
      </c>
      <c r="B16" s="171">
        <v>1</v>
      </c>
      <c r="C16" s="171">
        <v>1</v>
      </c>
      <c r="D16" s="171">
        <v>0</v>
      </c>
      <c r="E16" s="172">
        <f>IF(B16=1,$E$8,Dataset!$B$9)</f>
        <v>15000</v>
      </c>
      <c r="F16" s="172">
        <f>IF(C16=1,$F$8,Dataset!$C$9)</f>
        <v>60000</v>
      </c>
      <c r="G16" s="173">
        <f>IF(D16=1,$G$8,Dataset!$D$9)</f>
        <v>728</v>
      </c>
      <c r="H16" s="174">
        <f>'Model &amp; Baseline'!$B$5 + 'Model &amp; Baseline'!$B$6*E16 + 'Model &amp; Baseline'!$B$7*F16 + 'Model &amp; Baseline'!$B$8*G16</f>
        <v>59.392447885020999</v>
      </c>
      <c r="I16" s="169">
        <f t="shared" si="0"/>
        <v>59.392447885020999</v>
      </c>
    </row>
    <row r="17" spans="1:18" ht="21.6" thickBot="1">
      <c r="A17" s="121" t="s">
        <v>43</v>
      </c>
      <c r="B17" s="2">
        <v>1</v>
      </c>
      <c r="C17" s="2">
        <v>0</v>
      </c>
      <c r="D17" s="2">
        <v>1</v>
      </c>
      <c r="E17" s="11">
        <f>IF(B17=1,$E$8,Dataset!$B$9)</f>
        <v>15000</v>
      </c>
      <c r="F17" s="11">
        <f>IF(C17=1,$F$8,Dataset!$C$9)</f>
        <v>68000</v>
      </c>
      <c r="G17" s="152">
        <f>IF(D17=1,$G$8,Dataset!$D$9)</f>
        <v>680</v>
      </c>
      <c r="H17" s="178">
        <f>'Model &amp; Baseline'!$B$5 + 'Model &amp; Baseline'!$B$6*E17 + 'Model &amp; Baseline'!$B$7*F17 + 'Model &amp; Baseline'!$B$8*G17</f>
        <v>26.146434381020981</v>
      </c>
      <c r="I17" s="156">
        <f t="shared" si="0"/>
        <v>26.146434381020981</v>
      </c>
      <c r="P17" s="77"/>
      <c r="Q17" s="78" t="s">
        <v>144</v>
      </c>
      <c r="R17" s="77"/>
    </row>
    <row r="18" spans="1:18" ht="22.2" thickTop="1" thickBot="1">
      <c r="A18" s="121" t="s">
        <v>44</v>
      </c>
      <c r="B18" s="67">
        <v>0</v>
      </c>
      <c r="C18" s="67">
        <v>1</v>
      </c>
      <c r="D18" s="67">
        <v>1</v>
      </c>
      <c r="E18" s="68">
        <f>IF(B18=1,$E$8,Dataset!$B$9)</f>
        <v>29400</v>
      </c>
      <c r="F18" s="68">
        <f>IF(C18=1,$F$8,Dataset!$C$9)</f>
        <v>60000</v>
      </c>
      <c r="G18" s="153">
        <f>IF(D18=1,$G$8,Dataset!$D$9)</f>
        <v>680</v>
      </c>
      <c r="H18" s="159">
        <f>'Model &amp; Baseline'!$B$5 + 'Model &amp; Baseline'!$B$6*E18 + 'Model &amp; Baseline'!$B$7*F18 + 'Model &amp; Baseline'!$B$8*G18</f>
        <v>37.11547167222102</v>
      </c>
      <c r="I18" s="156">
        <f t="shared" si="0"/>
        <v>37.11547167222102</v>
      </c>
      <c r="J18" s="192" t="s">
        <v>65</v>
      </c>
      <c r="K18" s="193"/>
      <c r="L18" s="193"/>
      <c r="M18" s="193"/>
      <c r="N18" s="193"/>
      <c r="O18" s="193"/>
      <c r="P18" s="42"/>
      <c r="Q18" s="82">
        <f>P30 + H29 + H35 + H41</f>
        <v>31.827177037020952</v>
      </c>
    </row>
    <row r="19" spans="1:18" ht="18.600000000000001" thickBot="1">
      <c r="A19" s="66" t="s">
        <v>45</v>
      </c>
      <c r="B19" s="69">
        <v>1</v>
      </c>
      <c r="C19" s="70">
        <v>1</v>
      </c>
      <c r="D19" s="70">
        <v>1</v>
      </c>
      <c r="E19" s="128">
        <f>IF(B19=1,$E$8,Dataset!$B$9)</f>
        <v>15000</v>
      </c>
      <c r="F19" s="128">
        <f>IF(C19=1,$F$8,Dataset!$C$9)</f>
        <v>60000</v>
      </c>
      <c r="G19" s="154">
        <f>IF(D19=1,$G$8,Dataset!$D$9)</f>
        <v>680</v>
      </c>
      <c r="H19" s="160">
        <f>'Model &amp; Baseline'!$B$5 + 'Model &amp; Baseline'!$B$6*E19 + 'Model &amp; Baseline'!$B$7*F19 + 'Model &amp; Baseline'!$B$8*G19</f>
        <v>31.827177037020988</v>
      </c>
      <c r="I19" s="156">
        <f t="shared" si="0"/>
        <v>31.827177037020988</v>
      </c>
      <c r="J19" s="194" t="s">
        <v>145</v>
      </c>
      <c r="K19" s="194"/>
      <c r="L19" s="194"/>
      <c r="M19" s="194"/>
      <c r="N19" s="194"/>
      <c r="O19" s="194"/>
      <c r="P19" s="42"/>
      <c r="Q19" s="80">
        <f>P26</f>
        <v>31.827177037020988</v>
      </c>
    </row>
    <row r="20" spans="1:18" ht="18.600000000000001" thickBot="1">
      <c r="A20" s="131"/>
      <c r="B20" s="132"/>
      <c r="C20" s="132"/>
      <c r="D20" s="132"/>
      <c r="E20" s="133"/>
      <c r="F20" s="133"/>
      <c r="G20" s="134"/>
      <c r="H20" s="135"/>
      <c r="J20" s="85"/>
      <c r="K20" s="85"/>
      <c r="L20" s="85"/>
      <c r="M20" s="85"/>
      <c r="N20" s="85"/>
      <c r="O20" s="85"/>
      <c r="P20" s="42"/>
      <c r="Q20" s="136"/>
    </row>
    <row r="21" spans="1:18" ht="24" thickBot="1">
      <c r="A21" s="137" t="s">
        <v>14</v>
      </c>
      <c r="B21" s="137"/>
      <c r="C21" s="137"/>
      <c r="D21" s="162">
        <f>'Model &amp; Baseline'!M8</f>
        <v>0.59000000000000008</v>
      </c>
    </row>
    <row r="22" spans="1:18" ht="33" customHeight="1">
      <c r="A22" s="191" t="s">
        <v>46</v>
      </c>
      <c r="B22" s="191"/>
      <c r="C22" s="191"/>
      <c r="D22" s="191"/>
      <c r="E22" s="191"/>
      <c r="F22" s="191"/>
      <c r="G22" s="191"/>
      <c r="H22" s="191"/>
      <c r="K22" s="195" t="s">
        <v>222</v>
      </c>
      <c r="L22" s="195"/>
      <c r="M22" s="195"/>
      <c r="N22" s="195"/>
      <c r="O22" s="195"/>
    </row>
    <row r="23" spans="1:18" ht="27.6">
      <c r="A23" s="1" t="s">
        <v>47</v>
      </c>
      <c r="B23" s="1" t="s">
        <v>48</v>
      </c>
      <c r="C23" s="1" t="s">
        <v>49</v>
      </c>
      <c r="D23" s="1" t="s">
        <v>50</v>
      </c>
      <c r="E23" s="1" t="s">
        <v>51</v>
      </c>
      <c r="F23" s="1" t="s">
        <v>52</v>
      </c>
      <c r="G23" s="1" t="s">
        <v>53</v>
      </c>
      <c r="H23" s="1" t="s">
        <v>54</v>
      </c>
      <c r="K23" s="36" t="s">
        <v>0</v>
      </c>
      <c r="L23" s="36" t="s">
        <v>16</v>
      </c>
      <c r="M23" s="36" t="s">
        <v>17</v>
      </c>
      <c r="N23" s="36" t="s">
        <v>18</v>
      </c>
      <c r="O23" s="34" t="s">
        <v>127</v>
      </c>
      <c r="P23" s="34" t="s">
        <v>131</v>
      </c>
    </row>
    <row r="24" spans="1:18">
      <c r="A24" s="6" t="s">
        <v>59</v>
      </c>
      <c r="B24" s="84"/>
      <c r="C24" s="84"/>
      <c r="D24" s="84"/>
      <c r="E24" s="84"/>
      <c r="F24" s="84"/>
      <c r="G24" s="84"/>
      <c r="H24" s="84"/>
      <c r="K24" s="83"/>
      <c r="L24" s="83"/>
      <c r="M24" s="83"/>
      <c r="N24" s="83"/>
      <c r="O24" s="34"/>
      <c r="P24" s="34"/>
    </row>
    <row r="25" spans="1:18" ht="23.4">
      <c r="A25" s="2" t="s">
        <v>16</v>
      </c>
      <c r="B25" s="10" t="s">
        <v>55</v>
      </c>
      <c r="C25" s="2">
        <v>0</v>
      </c>
      <c r="D25" s="14">
        <f>FACT(C25)*FACT(3-C25-1)/FACT(3)</f>
        <v>0.33333333333333331</v>
      </c>
      <c r="E25" s="130">
        <f>H13</f>
        <v>53.711705229020993</v>
      </c>
      <c r="F25" s="161">
        <f>H11</f>
        <v>58.999999864221024</v>
      </c>
      <c r="G25" s="13">
        <f>E25-F25</f>
        <v>-5.2882946352000317</v>
      </c>
      <c r="H25" s="13">
        <f>D25*G25</f>
        <v>-1.7627648784000105</v>
      </c>
      <c r="K25" s="37">
        <v>1</v>
      </c>
      <c r="L25" s="38">
        <v>10000</v>
      </c>
      <c r="M25" s="38">
        <v>45000</v>
      </c>
      <c r="N25" s="39">
        <v>720</v>
      </c>
      <c r="O25" s="34">
        <v>70</v>
      </c>
      <c r="P25" s="45">
        <f>'Model &amp; Baseline'!N3</f>
        <v>63.613415142020983</v>
      </c>
    </row>
    <row r="26" spans="1:18" ht="23.4">
      <c r="A26" s="177" t="s">
        <v>16</v>
      </c>
      <c r="B26" s="176" t="s">
        <v>56</v>
      </c>
      <c r="C26" s="175">
        <v>1</v>
      </c>
      <c r="D26" s="14">
        <f>FACT(C26)*FACT(3-C26-1)/FACT(3)</f>
        <v>0.16666666666666666</v>
      </c>
      <c r="E26" s="168">
        <f>H16</f>
        <v>59.392447885020999</v>
      </c>
      <c r="F26" s="130">
        <f>H14</f>
        <v>64.680742520221031</v>
      </c>
      <c r="G26" s="13">
        <f>E26-F26</f>
        <v>-5.2882946352000317</v>
      </c>
      <c r="H26" s="13">
        <f>D26*G26</f>
        <v>-0.88138243920000525</v>
      </c>
      <c r="K26" s="37">
        <v>2</v>
      </c>
      <c r="L26" s="38">
        <v>15000</v>
      </c>
      <c r="M26" s="38">
        <v>60000</v>
      </c>
      <c r="N26" s="39">
        <v>680</v>
      </c>
      <c r="O26" s="34">
        <v>40</v>
      </c>
      <c r="P26" s="79">
        <f>'Model &amp; Baseline'!N4</f>
        <v>31.827177037020988</v>
      </c>
    </row>
    <row r="27" spans="1:18" ht="18">
      <c r="A27" s="2" t="s">
        <v>16</v>
      </c>
      <c r="B27" s="179" t="s">
        <v>57</v>
      </c>
      <c r="C27" s="2">
        <v>1</v>
      </c>
      <c r="D27" s="14">
        <f>FACT(C27)*FACT(3-C27-1)/FACT(3)</f>
        <v>0.16666666666666666</v>
      </c>
      <c r="E27" s="13">
        <f>H17</f>
        <v>26.146434381020981</v>
      </c>
      <c r="F27" s="13">
        <f>H15</f>
        <v>31.434729016221013</v>
      </c>
      <c r="G27" s="13">
        <f>E27-F27</f>
        <v>-5.2882946352000317</v>
      </c>
      <c r="H27" s="13">
        <f>D27*G27</f>
        <v>-0.88138243920000525</v>
      </c>
      <c r="K27" s="37">
        <v>3</v>
      </c>
      <c r="L27" s="38">
        <v>85000</v>
      </c>
      <c r="M27" s="38">
        <v>85000</v>
      </c>
      <c r="N27" s="39">
        <v>750</v>
      </c>
      <c r="O27" s="34">
        <v>80</v>
      </c>
      <c r="P27" s="45">
        <f>'Model &amp; Baseline'!N5</f>
        <v>79.981197367020968</v>
      </c>
    </row>
    <row r="28" spans="1:18" ht="18">
      <c r="A28" s="2" t="s">
        <v>16</v>
      </c>
      <c r="B28" s="179" t="s">
        <v>58</v>
      </c>
      <c r="C28" s="2">
        <v>2</v>
      </c>
      <c r="D28" s="14">
        <f>FACT(C28)*FACT(3-C28-1)/FACT(3)</f>
        <v>0.33333333333333331</v>
      </c>
      <c r="E28" s="13">
        <f>H19</f>
        <v>31.827177037020988</v>
      </c>
      <c r="F28" s="13">
        <f>H18</f>
        <v>37.11547167222102</v>
      </c>
      <c r="G28" s="13">
        <f>E28-F28</f>
        <v>-5.2882946352000317</v>
      </c>
      <c r="H28" s="13">
        <f>D28*G28</f>
        <v>-1.7627648784000105</v>
      </c>
      <c r="K28" s="37">
        <v>4</v>
      </c>
      <c r="L28" s="38">
        <v>12000</v>
      </c>
      <c r="M28" s="38">
        <v>50000</v>
      </c>
      <c r="N28" s="39">
        <v>690</v>
      </c>
      <c r="O28" s="34">
        <v>30</v>
      </c>
      <c r="P28" s="45">
        <f>'Model &amp; Baseline'!N6</f>
        <v>43.569142068020994</v>
      </c>
    </row>
    <row r="29" spans="1:18">
      <c r="H29" s="15">
        <f>SUM(H25:H28)</f>
        <v>-5.2882946352000317</v>
      </c>
      <c r="K29" s="37">
        <v>5</v>
      </c>
      <c r="L29" s="38">
        <v>25000</v>
      </c>
      <c r="M29" s="40">
        <v>100000</v>
      </c>
      <c r="N29" s="41">
        <v>800</v>
      </c>
      <c r="O29" s="34">
        <v>75</v>
      </c>
      <c r="P29" s="45">
        <f>'Model &amp; Baseline'!N7</f>
        <v>76.009067707021018</v>
      </c>
    </row>
    <row r="30" spans="1:18" ht="18">
      <c r="A30" s="6" t="s">
        <v>62</v>
      </c>
      <c r="K30" s="64" t="s">
        <v>5</v>
      </c>
      <c r="L30" s="65">
        <f>AVERAGE(L25:L29)</f>
        <v>29400</v>
      </c>
      <c r="M30" s="65">
        <f>AVERAGE(M25:M29)</f>
        <v>68000</v>
      </c>
      <c r="N30" s="75">
        <f>AVERAGE(N25:N29)</f>
        <v>728</v>
      </c>
      <c r="O30" s="76">
        <f>AVERAGE(O25:O29)</f>
        <v>59</v>
      </c>
      <c r="P30" s="81">
        <f>AVERAGE(P25:P29)</f>
        <v>58.999999864220989</v>
      </c>
    </row>
    <row r="31" spans="1:18" ht="23.4">
      <c r="A31" s="2" t="s">
        <v>17</v>
      </c>
      <c r="B31" s="10" t="s">
        <v>55</v>
      </c>
      <c r="C31" s="2">
        <v>0</v>
      </c>
      <c r="D31" s="14">
        <f>FACT(C31)*FACT(3-C31-1)/FACT(3)</f>
        <v>0.33333333333333331</v>
      </c>
      <c r="E31" s="13">
        <f>H14</f>
        <v>64.680742520221031</v>
      </c>
      <c r="F31" s="161">
        <f>H11</f>
        <v>58.999999864221024</v>
      </c>
      <c r="G31" s="13">
        <f>E31-F31</f>
        <v>5.6807426560000067</v>
      </c>
      <c r="H31" s="13">
        <f>D31*G31</f>
        <v>1.8935808853333356</v>
      </c>
    </row>
    <row r="32" spans="1:18">
      <c r="A32" s="2" t="s">
        <v>17</v>
      </c>
      <c r="B32" s="10" t="s">
        <v>60</v>
      </c>
      <c r="C32" s="2">
        <v>1</v>
      </c>
      <c r="D32" s="14">
        <f>FACT(C32)*FACT(3-C32-1)/FACT(3)</f>
        <v>0.16666666666666666</v>
      </c>
      <c r="E32" s="13">
        <f>H16</f>
        <v>59.392447885020999</v>
      </c>
      <c r="F32" s="13">
        <f>H13</f>
        <v>53.711705229020993</v>
      </c>
      <c r="G32" s="13">
        <f>E32-F32</f>
        <v>5.6807426560000067</v>
      </c>
      <c r="H32" s="13">
        <f>D32*G32</f>
        <v>0.94679044266666779</v>
      </c>
    </row>
    <row r="33" spans="1:8">
      <c r="A33" s="2" t="s">
        <v>17</v>
      </c>
      <c r="B33" s="10" t="s">
        <v>57</v>
      </c>
      <c r="C33" s="2">
        <v>1</v>
      </c>
      <c r="D33" s="14">
        <f>FACT(C33)*FACT(3-C33-1)/FACT(3)</f>
        <v>0.16666666666666666</v>
      </c>
      <c r="E33" s="13">
        <f>H18</f>
        <v>37.11547167222102</v>
      </c>
      <c r="F33" s="13">
        <f>H15</f>
        <v>31.434729016221013</v>
      </c>
      <c r="G33" s="13">
        <f>E33-F33</f>
        <v>5.6807426560000067</v>
      </c>
      <c r="H33" s="13">
        <f>D33*G33</f>
        <v>0.94679044266666779</v>
      </c>
    </row>
    <row r="34" spans="1:8">
      <c r="A34" s="2" t="s">
        <v>17</v>
      </c>
      <c r="B34" s="10" t="s">
        <v>61</v>
      </c>
      <c r="C34" s="2">
        <v>2</v>
      </c>
      <c r="D34" s="14">
        <f>FACT(C34)*FACT(3-C34-1)/FACT(3)</f>
        <v>0.33333333333333331</v>
      </c>
      <c r="E34" s="13">
        <f>H19</f>
        <v>31.827177037020988</v>
      </c>
      <c r="F34" s="13">
        <f>H17</f>
        <v>26.146434381020981</v>
      </c>
      <c r="G34" s="13">
        <f>E34-F34</f>
        <v>5.6807426560000067</v>
      </c>
      <c r="H34" s="13">
        <f>D34*G34</f>
        <v>1.8935808853333356</v>
      </c>
    </row>
    <row r="35" spans="1:8">
      <c r="H35" s="15">
        <f>SUM(H31:H34)</f>
        <v>5.6807426560000067</v>
      </c>
    </row>
    <row r="36" spans="1:8">
      <c r="A36" s="6" t="s">
        <v>64</v>
      </c>
    </row>
    <row r="37" spans="1:8" ht="23.4">
      <c r="A37" s="2" t="s">
        <v>18</v>
      </c>
      <c r="B37" s="10" t="s">
        <v>55</v>
      </c>
      <c r="C37" s="2">
        <v>0</v>
      </c>
      <c r="D37" s="14">
        <f>FACT(C37)*FACT(3-C37-1)/FACT(3)</f>
        <v>0.33333333333333331</v>
      </c>
      <c r="E37" s="13">
        <f>H15</f>
        <v>31.434729016221013</v>
      </c>
      <c r="F37" s="161">
        <f>H11</f>
        <v>58.999999864221024</v>
      </c>
      <c r="G37" s="13">
        <f>E37-F37</f>
        <v>-27.565270848000011</v>
      </c>
      <c r="H37" s="13">
        <f>D37*G37</f>
        <v>-9.1884236160000032</v>
      </c>
    </row>
    <row r="38" spans="1:8">
      <c r="A38" s="2" t="s">
        <v>18</v>
      </c>
      <c r="B38" s="10" t="s">
        <v>60</v>
      </c>
      <c r="C38" s="2">
        <v>1</v>
      </c>
      <c r="D38" s="14">
        <f>FACT(C38)*FACT(3-C38-1)/FACT(3)</f>
        <v>0.16666666666666666</v>
      </c>
      <c r="E38" s="13">
        <f>H17</f>
        <v>26.146434381020981</v>
      </c>
      <c r="F38" s="13">
        <f>H13</f>
        <v>53.711705229020993</v>
      </c>
      <c r="G38" s="13">
        <f>E38-F38</f>
        <v>-27.565270848000011</v>
      </c>
      <c r="H38" s="13">
        <f>D38*G38</f>
        <v>-4.5942118080000016</v>
      </c>
    </row>
    <row r="39" spans="1:8">
      <c r="A39" s="2" t="s">
        <v>18</v>
      </c>
      <c r="B39" s="10" t="s">
        <v>56</v>
      </c>
      <c r="C39" s="2">
        <v>1</v>
      </c>
      <c r="D39" s="14">
        <f>FACT(C39)*FACT(3-C39-1)/FACT(3)</f>
        <v>0.16666666666666666</v>
      </c>
      <c r="E39" s="13">
        <f>H18</f>
        <v>37.11547167222102</v>
      </c>
      <c r="F39" s="13">
        <f>H14</f>
        <v>64.680742520221031</v>
      </c>
      <c r="G39" s="13">
        <f>E39-F39</f>
        <v>-27.565270848000011</v>
      </c>
      <c r="H39" s="13">
        <f>D39*G39</f>
        <v>-4.5942118080000016</v>
      </c>
    </row>
    <row r="40" spans="1:8">
      <c r="A40" s="2" t="s">
        <v>18</v>
      </c>
      <c r="B40" s="10" t="s">
        <v>63</v>
      </c>
      <c r="C40" s="2">
        <v>2</v>
      </c>
      <c r="D40" s="14">
        <f>FACT(C40)*FACT(3-C40-1)/FACT(3)</f>
        <v>0.33333333333333331</v>
      </c>
      <c r="E40" s="13">
        <f>H19</f>
        <v>31.827177037020988</v>
      </c>
      <c r="F40" s="13">
        <f>H16</f>
        <v>59.392447885020999</v>
      </c>
      <c r="G40" s="13">
        <f>E40-F40</f>
        <v>-27.565270848000011</v>
      </c>
      <c r="H40" s="13">
        <f>D40*G40</f>
        <v>-9.1884236160000032</v>
      </c>
    </row>
    <row r="41" spans="1:8">
      <c r="H41" s="15">
        <f>SUM(H37:H40)</f>
        <v>-27.565270848000011</v>
      </c>
    </row>
  </sheetData>
  <mergeCells count="7">
    <mergeCell ref="A1:H1"/>
    <mergeCell ref="A3:H3"/>
    <mergeCell ref="A22:H22"/>
    <mergeCell ref="J18:O18"/>
    <mergeCell ref="J19:O19"/>
    <mergeCell ref="K22:O22"/>
    <mergeCell ref="H8:H9"/>
  </mergeCells>
  <pageMargins left="0.75" right="0.75" top="1" bottom="1" header="0.511811023622047" footer="0.511811023622047"/>
  <pageSetup paperSize="9" orientation="portrait" horizontalDpi="300" verticalDpi="300" r:id="rId1"/>
  <drawing r:id="rId2"/>
  <legacyDrawing r:id="rId3"/>
</worksheet>
</file>

<file path=xl/worksheets/sheet4.xml><?xml version="1.0" encoding="utf-8"?>
<worksheet xmlns="http://schemas.openxmlformats.org/spreadsheetml/2006/main" xmlns:r="http://schemas.openxmlformats.org/officeDocument/2006/relationships">
  <dimension ref="A1:W39"/>
  <sheetViews>
    <sheetView workbookViewId="0">
      <selection activeCell="K9" sqref="K9"/>
    </sheetView>
  </sheetViews>
  <sheetFormatPr defaultRowHeight="14.4"/>
  <sheetData>
    <row r="1" spans="1:23">
      <c r="A1" t="s">
        <v>66</v>
      </c>
      <c r="Q1" s="48" t="s">
        <v>132</v>
      </c>
      <c r="R1" s="49"/>
      <c r="S1" s="49"/>
      <c r="T1" s="49"/>
      <c r="U1" s="49"/>
      <c r="V1" s="49"/>
      <c r="W1" s="50"/>
    </row>
    <row r="2" spans="1:23">
      <c r="Q2" s="51"/>
      <c r="R2" s="52"/>
      <c r="S2" s="52"/>
      <c r="T2" s="52"/>
      <c r="U2" s="52"/>
      <c r="V2" s="52"/>
      <c r="W2" s="53"/>
    </row>
    <row r="3" spans="1:23" ht="18">
      <c r="A3" s="16" t="s">
        <v>67</v>
      </c>
      <c r="Q3" s="54" t="s">
        <v>142</v>
      </c>
      <c r="R3" s="52"/>
      <c r="S3" s="52"/>
      <c r="T3" s="52"/>
      <c r="U3" s="52"/>
      <c r="V3" s="52"/>
      <c r="W3" s="53"/>
    </row>
    <row r="4" spans="1:23">
      <c r="Q4" s="55"/>
      <c r="R4" s="52"/>
      <c r="S4" s="52"/>
      <c r="T4" s="52"/>
      <c r="U4" s="52"/>
      <c r="V4" s="52"/>
      <c r="W4" s="53"/>
    </row>
    <row r="5" spans="1:23">
      <c r="A5" t="s">
        <v>68</v>
      </c>
      <c r="Q5" s="56" t="s">
        <v>133</v>
      </c>
      <c r="R5" s="52"/>
      <c r="S5" s="52"/>
      <c r="T5" s="52"/>
      <c r="U5" s="52"/>
      <c r="V5" s="52"/>
      <c r="W5" s="53"/>
    </row>
    <row r="6" spans="1:23">
      <c r="Q6" s="56" t="s">
        <v>134</v>
      </c>
      <c r="R6" s="52"/>
      <c r="S6" s="52"/>
      <c r="T6" s="52"/>
      <c r="U6" s="52"/>
      <c r="V6" s="52"/>
      <c r="W6" s="53"/>
    </row>
    <row r="7" spans="1:23">
      <c r="A7" t="s">
        <v>69</v>
      </c>
      <c r="Q7" s="51"/>
      <c r="R7" s="52"/>
      <c r="S7" s="52"/>
      <c r="T7" s="52"/>
      <c r="U7" s="52"/>
      <c r="V7" s="52"/>
      <c r="W7" s="53"/>
    </row>
    <row r="8" spans="1:23">
      <c r="Q8" s="57" t="s">
        <v>135</v>
      </c>
      <c r="R8" s="52"/>
      <c r="S8" s="52"/>
      <c r="T8" s="52"/>
      <c r="U8" s="52"/>
      <c r="V8" s="52"/>
      <c r="W8" s="53"/>
    </row>
    <row r="9" spans="1:23">
      <c r="A9" s="16" t="s">
        <v>70</v>
      </c>
      <c r="Q9" s="51"/>
      <c r="R9" s="52"/>
      <c r="S9" s="52"/>
      <c r="T9" s="52"/>
      <c r="U9" s="52"/>
      <c r="V9" s="52"/>
      <c r="W9" s="53"/>
    </row>
    <row r="10" spans="1:23">
      <c r="A10" s="17"/>
      <c r="Q10" s="51" t="s">
        <v>136</v>
      </c>
      <c r="R10" s="52"/>
      <c r="S10" s="52"/>
      <c r="T10" s="52"/>
      <c r="U10" s="52"/>
      <c r="V10" s="52"/>
      <c r="W10" s="53"/>
    </row>
    <row r="11" spans="1:23">
      <c r="A11" s="17" t="s">
        <v>71</v>
      </c>
      <c r="Q11" s="51"/>
      <c r="R11" s="52"/>
      <c r="S11" s="52"/>
      <c r="T11" s="52"/>
      <c r="U11" s="52"/>
      <c r="V11" s="52"/>
      <c r="W11" s="53"/>
    </row>
    <row r="12" spans="1:23">
      <c r="A12" s="17" t="s">
        <v>72</v>
      </c>
      <c r="Q12" s="51" t="s">
        <v>137</v>
      </c>
      <c r="R12" s="52"/>
      <c r="S12" s="52"/>
      <c r="T12" s="52"/>
      <c r="U12" s="52"/>
      <c r="V12" s="52"/>
      <c r="W12" s="53"/>
    </row>
    <row r="13" spans="1:23">
      <c r="A13" s="17" t="s">
        <v>73</v>
      </c>
      <c r="Q13" s="51"/>
      <c r="R13" s="52"/>
      <c r="S13" s="52"/>
      <c r="T13" s="52"/>
      <c r="U13" s="52"/>
      <c r="V13" s="52"/>
      <c r="W13" s="53"/>
    </row>
    <row r="14" spans="1:23">
      <c r="Q14" s="51" t="s">
        <v>138</v>
      </c>
      <c r="R14" s="52"/>
      <c r="S14" s="52"/>
      <c r="T14" s="52"/>
      <c r="U14" s="52"/>
      <c r="V14" s="52"/>
      <c r="W14" s="53"/>
    </row>
    <row r="15" spans="1:23">
      <c r="A15" s="16" t="s">
        <v>74</v>
      </c>
      <c r="Q15" s="51"/>
      <c r="R15" s="52"/>
      <c r="S15" s="52"/>
      <c r="T15" s="52"/>
      <c r="U15" s="52"/>
      <c r="V15" s="52"/>
      <c r="W15" s="53"/>
    </row>
    <row r="16" spans="1:23">
      <c r="Q16" s="51" t="s">
        <v>139</v>
      </c>
      <c r="R16" s="52"/>
      <c r="S16" s="52"/>
      <c r="T16" s="52"/>
      <c r="U16" s="52"/>
      <c r="V16" s="52"/>
      <c r="W16" s="53"/>
    </row>
    <row r="17" spans="1:23">
      <c r="A17" t="s">
        <v>75</v>
      </c>
      <c r="Q17" s="51"/>
      <c r="R17" s="52"/>
      <c r="S17" s="52"/>
      <c r="T17" s="52"/>
      <c r="U17" s="52"/>
      <c r="V17" s="52"/>
      <c r="W17" s="53"/>
    </row>
    <row r="18" spans="1:23">
      <c r="Q18" s="51" t="s">
        <v>140</v>
      </c>
      <c r="R18" s="52"/>
      <c r="S18" s="52"/>
      <c r="T18" s="52"/>
      <c r="U18" s="52"/>
      <c r="V18" s="52"/>
      <c r="W18" s="53"/>
    </row>
    <row r="19" spans="1:23" ht="28.8">
      <c r="A19" s="18" t="s">
        <v>47</v>
      </c>
      <c r="B19" s="18" t="s">
        <v>76</v>
      </c>
      <c r="Q19" s="51"/>
      <c r="R19" s="52"/>
      <c r="S19" s="52"/>
      <c r="T19" s="52"/>
      <c r="U19" s="52"/>
      <c r="V19" s="52"/>
      <c r="W19" s="53"/>
    </row>
    <row r="20" spans="1:23" ht="29.4" thickBot="1">
      <c r="A20" s="19" t="s">
        <v>77</v>
      </c>
      <c r="B20" s="19" t="s">
        <v>78</v>
      </c>
      <c r="Q20" s="58" t="s">
        <v>141</v>
      </c>
      <c r="R20" s="59"/>
      <c r="S20" s="59"/>
      <c r="T20" s="59"/>
      <c r="U20" s="59"/>
      <c r="V20" s="59"/>
      <c r="W20" s="60"/>
    </row>
    <row r="21" spans="1:23" ht="28.8">
      <c r="A21" s="19" t="s">
        <v>79</v>
      </c>
      <c r="B21" s="19">
        <v>5.68</v>
      </c>
    </row>
    <row r="22" spans="1:23" ht="28.8">
      <c r="A22" s="19" t="s">
        <v>80</v>
      </c>
      <c r="B22" s="19" t="s">
        <v>81</v>
      </c>
    </row>
    <row r="24" spans="1:23">
      <c r="A24" t="s">
        <v>82</v>
      </c>
    </row>
    <row r="26" spans="1:23">
      <c r="A26" s="16" t="s">
        <v>83</v>
      </c>
    </row>
    <row r="28" spans="1:23" ht="28.8">
      <c r="A28" s="18" t="s">
        <v>0</v>
      </c>
      <c r="B28" s="18" t="s">
        <v>84</v>
      </c>
      <c r="C28" s="18" t="s">
        <v>85</v>
      </c>
      <c r="D28" s="18" t="s">
        <v>86</v>
      </c>
      <c r="E28" s="18" t="s">
        <v>87</v>
      </c>
      <c r="F28" s="18" t="s">
        <v>88</v>
      </c>
    </row>
    <row r="29" spans="1:23">
      <c r="A29" s="19">
        <v>1</v>
      </c>
      <c r="B29" s="19" t="s">
        <v>89</v>
      </c>
      <c r="C29" s="19">
        <v>16.329999999999998</v>
      </c>
      <c r="D29" s="19" t="s">
        <v>90</v>
      </c>
      <c r="E29" s="19">
        <v>63.61</v>
      </c>
      <c r="F29" s="19">
        <v>70</v>
      </c>
    </row>
    <row r="30" spans="1:23">
      <c r="A30" s="19">
        <v>2</v>
      </c>
      <c r="B30" s="19" t="s">
        <v>78</v>
      </c>
      <c r="C30" s="19">
        <v>5.68</v>
      </c>
      <c r="D30" s="19" t="s">
        <v>81</v>
      </c>
      <c r="E30" s="19">
        <v>31.83</v>
      </c>
      <c r="F30" s="19">
        <v>40</v>
      </c>
    </row>
    <row r="31" spans="1:23">
      <c r="A31" s="19">
        <v>3</v>
      </c>
      <c r="B31" s="19">
        <v>20.420000000000002</v>
      </c>
      <c r="C31" s="19" t="s">
        <v>91</v>
      </c>
      <c r="D31" s="19">
        <v>12.63</v>
      </c>
      <c r="E31" s="19">
        <v>79.98</v>
      </c>
      <c r="F31" s="19">
        <v>80</v>
      </c>
    </row>
    <row r="32" spans="1:23">
      <c r="A32" s="19">
        <v>4</v>
      </c>
      <c r="B32" s="19" t="s">
        <v>92</v>
      </c>
      <c r="C32" s="19">
        <v>12.78</v>
      </c>
      <c r="D32" s="19" t="s">
        <v>93</v>
      </c>
      <c r="E32" s="19">
        <v>43.57</v>
      </c>
      <c r="F32" s="19">
        <v>30</v>
      </c>
    </row>
    <row r="33" spans="1:6">
      <c r="A33" s="19">
        <v>5</v>
      </c>
      <c r="B33" s="19" t="s">
        <v>94</v>
      </c>
      <c r="C33" s="19" t="s">
        <v>95</v>
      </c>
      <c r="D33" s="19">
        <v>41.35</v>
      </c>
      <c r="E33" s="19">
        <v>76.010000000000005</v>
      </c>
      <c r="F33" s="19">
        <v>75</v>
      </c>
    </row>
    <row r="35" spans="1:6">
      <c r="A35" s="16" t="s">
        <v>96</v>
      </c>
    </row>
    <row r="37" spans="1:6" ht="15">
      <c r="A37" t="s">
        <v>97</v>
      </c>
    </row>
    <row r="39" spans="1:6">
      <c r="A39" t="s">
        <v>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39"/>
  <sheetViews>
    <sheetView workbookViewId="0">
      <selection activeCell="A23" sqref="A23:A39"/>
    </sheetView>
  </sheetViews>
  <sheetFormatPr defaultRowHeight="14.4"/>
  <sheetData>
    <row r="1" spans="1:1">
      <c r="A1" t="s">
        <v>99</v>
      </c>
    </row>
    <row r="3" spans="1:1">
      <c r="A3" t="s">
        <v>100</v>
      </c>
    </row>
    <row r="5" spans="1:1">
      <c r="A5" t="s">
        <v>101</v>
      </c>
    </row>
    <row r="6" spans="1:1">
      <c r="A6" s="17"/>
    </row>
    <row r="7" spans="1:1">
      <c r="A7" s="20" t="s">
        <v>102</v>
      </c>
    </row>
    <row r="8" spans="1:1">
      <c r="A8" s="20" t="s">
        <v>103</v>
      </c>
    </row>
    <row r="9" spans="1:1">
      <c r="A9" s="20" t="s">
        <v>104</v>
      </c>
    </row>
    <row r="10" spans="1:1">
      <c r="A10" s="20" t="s">
        <v>105</v>
      </c>
    </row>
    <row r="12" spans="1:1">
      <c r="A12" t="s">
        <v>106</v>
      </c>
    </row>
    <row r="13" spans="1:1">
      <c r="A13" s="17"/>
    </row>
    <row r="14" spans="1:1" ht="15">
      <c r="A14" s="21" t="s">
        <v>107</v>
      </c>
    </row>
    <row r="15" spans="1:1" ht="15">
      <c r="A15" s="21" t="s">
        <v>108</v>
      </c>
    </row>
    <row r="16" spans="1:1" ht="15">
      <c r="A16" s="21" t="s">
        <v>109</v>
      </c>
    </row>
    <row r="17" spans="1:1" ht="15">
      <c r="A17" s="21" t="s">
        <v>110</v>
      </c>
    </row>
    <row r="18" spans="1:1" ht="15">
      <c r="A18" s="21" t="s">
        <v>111</v>
      </c>
    </row>
    <row r="19" spans="1:1" ht="15">
      <c r="A19" s="21" t="s">
        <v>112</v>
      </c>
    </row>
    <row r="21" spans="1:1" ht="15">
      <c r="A21" t="s">
        <v>113</v>
      </c>
    </row>
    <row r="23" spans="1:1">
      <c r="A23" t="s">
        <v>114</v>
      </c>
    </row>
    <row r="24" spans="1:1">
      <c r="A24" s="17"/>
    </row>
    <row r="25" spans="1:1" ht="15">
      <c r="A25" s="20" t="s">
        <v>115</v>
      </c>
    </row>
    <row r="26" spans="1:1" ht="15">
      <c r="A26" s="20" t="s">
        <v>116</v>
      </c>
    </row>
    <row r="27" spans="1:1" ht="15">
      <c r="A27" s="20" t="s">
        <v>117</v>
      </c>
    </row>
    <row r="29" spans="1:1">
      <c r="A29" t="s">
        <v>118</v>
      </c>
    </row>
    <row r="31" spans="1:1">
      <c r="A31" s="22" t="s">
        <v>119</v>
      </c>
    </row>
    <row r="32" spans="1:1">
      <c r="A32" s="23" t="s">
        <v>120</v>
      </c>
    </row>
    <row r="33" spans="1:1">
      <c r="A33" s="24" t="s">
        <v>121</v>
      </c>
    </row>
    <row r="34" spans="1:1">
      <c r="A34" s="24" t="s">
        <v>122</v>
      </c>
    </row>
    <row r="35" spans="1:1">
      <c r="A35" s="17"/>
    </row>
    <row r="36" spans="1:1" ht="15">
      <c r="A36" s="20" t="s">
        <v>123</v>
      </c>
    </row>
    <row r="37" spans="1:1" ht="15">
      <c r="A37" s="20" t="s">
        <v>124</v>
      </c>
    </row>
    <row r="39" spans="1:1">
      <c r="A39" t="s">
        <v>125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0"/>
  <sheetViews>
    <sheetView workbookViewId="0">
      <selection activeCell="G4" sqref="G4"/>
    </sheetView>
  </sheetViews>
  <sheetFormatPr defaultColWidth="8.6640625" defaultRowHeight="14.4"/>
  <cols>
    <col min="1" max="1" width="6" customWidth="1"/>
    <col min="2" max="4" width="11" customWidth="1"/>
    <col min="5" max="6" width="15" customWidth="1"/>
    <col min="7" max="9" width="10" customWidth="1"/>
    <col min="10" max="10" width="16" customWidth="1"/>
  </cols>
  <sheetData>
    <row r="1" spans="1:10" ht="16.2" customHeight="1">
      <c r="A1" s="190" t="s">
        <v>15</v>
      </c>
      <c r="B1" s="190"/>
      <c r="C1" s="190"/>
      <c r="D1" s="190"/>
      <c r="E1" s="190"/>
      <c r="F1" s="190"/>
      <c r="G1" s="190"/>
      <c r="H1" s="190"/>
      <c r="I1" s="190"/>
      <c r="J1" s="190"/>
    </row>
    <row r="3" spans="1:10" ht="27.6">
      <c r="A3" s="1" t="s">
        <v>0</v>
      </c>
      <c r="B3" s="1" t="s">
        <v>16</v>
      </c>
      <c r="C3" s="1" t="s">
        <v>17</v>
      </c>
      <c r="D3" s="1" t="s">
        <v>18</v>
      </c>
      <c r="E3" s="1" t="s">
        <v>19</v>
      </c>
      <c r="F3" s="1" t="s">
        <v>20</v>
      </c>
      <c r="G3" s="1" t="s">
        <v>21</v>
      </c>
      <c r="H3" s="1" t="s">
        <v>22</v>
      </c>
      <c r="I3" s="1" t="s">
        <v>23</v>
      </c>
      <c r="J3" s="1" t="s">
        <v>24</v>
      </c>
    </row>
    <row r="4" spans="1:10">
      <c r="A4" s="10">
        <f>Dataset!A4</f>
        <v>1</v>
      </c>
      <c r="B4" s="11">
        <f>Dataset!B4</f>
        <v>10000</v>
      </c>
      <c r="C4" s="11">
        <f>Dataset!C4</f>
        <v>45000</v>
      </c>
      <c r="D4" s="12">
        <f>Dataset!D4</f>
        <v>720</v>
      </c>
      <c r="E4" s="13">
        <f>Dataset!F4</f>
        <v>70</v>
      </c>
      <c r="F4" s="13">
        <f>'Model &amp; Baseline'!$B$5 + 'Model &amp; Baseline'!$B$6*B4 + 'Model &amp; Baseline'!$B$7*C4 + 'Model &amp; Baseline'!$B$8*D4</f>
        <v>63.613415142020983</v>
      </c>
      <c r="G4" s="13">
        <f>'Model &amp; Baseline'!$B$6*(B4-Dataset!$B$9)</f>
        <v>-7.1245080501999993</v>
      </c>
      <c r="H4" s="13">
        <f>'Model &amp; Baseline'!$B$7*(C4-Dataset!$C$9)</f>
        <v>16.332135135999998</v>
      </c>
      <c r="I4" s="13">
        <f>'Model &amp; Baseline'!$B$8*(D4-Dataset!$D$9)</f>
        <v>-4.5942118079999998</v>
      </c>
      <c r="J4" s="13">
        <f>'Model &amp; Baseline'!$D$15+G4+H4+I4</f>
        <v>63.613415142021026</v>
      </c>
    </row>
    <row r="5" spans="1:10">
      <c r="A5" s="10">
        <f>Dataset!A5</f>
        <v>2</v>
      </c>
      <c r="B5" s="11">
        <f>Dataset!B5</f>
        <v>15000</v>
      </c>
      <c r="C5" s="11">
        <f>Dataset!C5</f>
        <v>60000</v>
      </c>
      <c r="D5" s="12">
        <f>Dataset!D5</f>
        <v>680</v>
      </c>
      <c r="E5" s="13">
        <f>Dataset!F5</f>
        <v>40</v>
      </c>
      <c r="F5" s="13">
        <f>'Model &amp; Baseline'!$B$5 + 'Model &amp; Baseline'!$B$6*B5 + 'Model &amp; Baseline'!$B$7*C5 + 'Model &amp; Baseline'!$B$8*D5</f>
        <v>31.827177037020988</v>
      </c>
      <c r="G5" s="13">
        <f>'Model &amp; Baseline'!$B$6*(B5-Dataset!$B$9)</f>
        <v>-5.2882946351999998</v>
      </c>
      <c r="H5" s="13">
        <f>'Model &amp; Baseline'!$B$7*(C5-Dataset!$C$9)</f>
        <v>5.6807426559999996</v>
      </c>
      <c r="I5" s="13">
        <f>'Model &amp; Baseline'!$B$8*(D5-Dataset!$D$9)</f>
        <v>-27.565270847999997</v>
      </c>
      <c r="J5" s="13">
        <f>'Model &amp; Baseline'!$D$15+G5+H5+I5</f>
        <v>31.827177037021023</v>
      </c>
    </row>
    <row r="6" spans="1:10">
      <c r="A6" s="10">
        <f>Dataset!A6</f>
        <v>3</v>
      </c>
      <c r="B6" s="11">
        <f>Dataset!B6</f>
        <v>85000</v>
      </c>
      <c r="C6" s="11">
        <f>Dataset!C6</f>
        <v>85000</v>
      </c>
      <c r="D6" s="12">
        <f>Dataset!D6</f>
        <v>750</v>
      </c>
      <c r="E6" s="13">
        <f>Dataset!F6</f>
        <v>80</v>
      </c>
      <c r="F6" s="13">
        <f>'Model &amp; Baseline'!$B$5 + 'Model &amp; Baseline'!$B$6*B6 + 'Model &amp; Baseline'!$B$7*C6 + 'Model &amp; Baseline'!$B$8*D6</f>
        <v>79.981197367020968</v>
      </c>
      <c r="G6" s="13">
        <f>'Model &amp; Baseline'!$B$6*(B6-Dataset!$B$9)</f>
        <v>20.418693174799998</v>
      </c>
      <c r="H6" s="13">
        <f>'Model &amp; Baseline'!$B$7*(C6-Dataset!$C$9)</f>
        <v>-12.071578144</v>
      </c>
      <c r="I6" s="13">
        <f>'Model &amp; Baseline'!$B$8*(D6-Dataset!$D$9)</f>
        <v>12.634082471999999</v>
      </c>
      <c r="J6" s="13">
        <f>'Model &amp; Baseline'!$D$15+G6+H6+I6</f>
        <v>79.981197367021025</v>
      </c>
    </row>
    <row r="7" spans="1:10">
      <c r="A7" s="10">
        <f>Dataset!A7</f>
        <v>4</v>
      </c>
      <c r="B7" s="11">
        <f>Dataset!B7</f>
        <v>12000</v>
      </c>
      <c r="C7" s="11">
        <f>Dataset!C7</f>
        <v>50000</v>
      </c>
      <c r="D7" s="12">
        <f>Dataset!D7</f>
        <v>690</v>
      </c>
      <c r="E7" s="13">
        <f>Dataset!F7</f>
        <v>30</v>
      </c>
      <c r="F7" s="13">
        <f>'Model &amp; Baseline'!$B$5 + 'Model &amp; Baseline'!$B$6*B7 + 'Model &amp; Baseline'!$B$7*C7 + 'Model &amp; Baseline'!$B$8*D7</f>
        <v>43.569142068020994</v>
      </c>
      <c r="G7" s="13">
        <f>'Model &amp; Baseline'!$B$6*(B7-Dataset!$B$9)</f>
        <v>-6.3900226841999999</v>
      </c>
      <c r="H7" s="13">
        <f>'Model &amp; Baseline'!$B$7*(C7-Dataset!$C$9)</f>
        <v>12.781670975999999</v>
      </c>
      <c r="I7" s="13">
        <f>'Model &amp; Baseline'!$B$8*(D7-Dataset!$D$9)</f>
        <v>-21.822506088000001</v>
      </c>
      <c r="J7" s="13">
        <f>'Model &amp; Baseline'!$D$15+G7+H7+I7</f>
        <v>43.569142068021023</v>
      </c>
    </row>
    <row r="8" spans="1:10">
      <c r="A8" s="10">
        <f>Dataset!A8</f>
        <v>5</v>
      </c>
      <c r="B8" s="11">
        <f>Dataset!B8</f>
        <v>25000</v>
      </c>
      <c r="C8" s="11">
        <f>Dataset!C8</f>
        <v>100000</v>
      </c>
      <c r="D8" s="12">
        <f>Dataset!D8</f>
        <v>800</v>
      </c>
      <c r="E8" s="13">
        <f>Dataset!F8</f>
        <v>75</v>
      </c>
      <c r="F8" s="13">
        <f>'Model &amp; Baseline'!$B$5 + 'Model &amp; Baseline'!$B$6*B8 + 'Model &amp; Baseline'!$B$7*C8 + 'Model &amp; Baseline'!$B$8*D8</f>
        <v>76.009067707021018</v>
      </c>
      <c r="G8" s="13">
        <f>'Model &amp; Baseline'!$B$6*(B8-Dataset!$B$9)</f>
        <v>-1.6158678052</v>
      </c>
      <c r="H8" s="13">
        <f>'Model &amp; Baseline'!$B$7*(C8-Dataset!$C$9)</f>
        <v>-22.722970623999998</v>
      </c>
      <c r="I8" s="13">
        <f>'Model &amp; Baseline'!$B$8*(D8-Dataset!$D$9)</f>
        <v>41.347906271999996</v>
      </c>
      <c r="J8" s="13">
        <f>'Model &amp; Baseline'!$D$15+G8+H8+I8</f>
        <v>76.009067707021018</v>
      </c>
    </row>
    <row r="10" spans="1:10" ht="22.35" customHeight="1">
      <c r="A10" s="183" t="s">
        <v>25</v>
      </c>
      <c r="B10" s="183"/>
      <c r="C10" s="183"/>
      <c r="D10" s="183"/>
      <c r="E10" s="183"/>
      <c r="F10" s="183"/>
      <c r="G10" s="183"/>
      <c r="H10" s="183"/>
      <c r="I10" s="183"/>
      <c r="J10" s="183"/>
    </row>
  </sheetData>
  <mergeCells count="2">
    <mergeCell ref="A1:J1"/>
    <mergeCell ref="A10:J10"/>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dimension ref="A1:J86"/>
  <sheetViews>
    <sheetView workbookViewId="0">
      <selection activeCell="J3" sqref="J3"/>
    </sheetView>
  </sheetViews>
  <sheetFormatPr defaultRowHeight="14.4"/>
  <sheetData>
    <row r="1" spans="1:10" ht="21">
      <c r="A1" t="s">
        <v>146</v>
      </c>
      <c r="J1" s="180" t="s">
        <v>227</v>
      </c>
    </row>
    <row r="3" spans="1:10" ht="18">
      <c r="A3" s="86" t="s">
        <v>147</v>
      </c>
      <c r="J3" s="16" t="s">
        <v>151</v>
      </c>
    </row>
    <row r="4" spans="1:10">
      <c r="J4" s="17"/>
    </row>
    <row r="5" spans="1:10">
      <c r="A5" s="87" t="s">
        <v>148</v>
      </c>
      <c r="B5" s="87"/>
      <c r="C5" s="87"/>
      <c r="D5" s="87"/>
      <c r="E5" s="87"/>
      <c r="J5" s="20" t="s">
        <v>152</v>
      </c>
    </row>
    <row r="6" spans="1:10" ht="15" thickBot="1">
      <c r="A6" s="87"/>
      <c r="B6" s="87"/>
      <c r="C6" s="87"/>
      <c r="D6" s="87"/>
      <c r="E6" s="87"/>
      <c r="J6" s="20" t="s">
        <v>153</v>
      </c>
    </row>
    <row r="7" spans="1:10">
      <c r="A7" s="101" t="s">
        <v>209</v>
      </c>
      <c r="B7" s="102"/>
      <c r="C7" s="102"/>
      <c r="D7" s="102"/>
      <c r="E7" s="102"/>
      <c r="F7" s="50"/>
      <c r="J7" s="20" t="s">
        <v>154</v>
      </c>
    </row>
    <row r="8" spans="1:10">
      <c r="A8" s="103" t="s">
        <v>199</v>
      </c>
      <c r="B8" s="104"/>
      <c r="C8" s="104"/>
      <c r="D8" s="105"/>
      <c r="E8" s="105"/>
      <c r="F8" s="53"/>
      <c r="J8" s="20" t="s">
        <v>155</v>
      </c>
    </row>
    <row r="9" spans="1:10" ht="15" thickBot="1">
      <c r="A9" s="58" t="s">
        <v>210</v>
      </c>
      <c r="B9" s="59"/>
      <c r="C9" s="59"/>
      <c r="D9" s="59"/>
      <c r="E9" s="59"/>
      <c r="F9" s="60"/>
    </row>
    <row r="11" spans="1:10">
      <c r="A11" s="88" t="s">
        <v>149</v>
      </c>
      <c r="B11" s="87"/>
      <c r="C11" s="87"/>
      <c r="D11" t="s">
        <v>198</v>
      </c>
      <c r="J11" s="16" t="s">
        <v>156</v>
      </c>
    </row>
    <row r="12" spans="1:10">
      <c r="J12" s="17"/>
    </row>
    <row r="13" spans="1:10">
      <c r="A13" s="24" t="s">
        <v>150</v>
      </c>
      <c r="J13" s="20" t="s">
        <v>157</v>
      </c>
    </row>
    <row r="14" spans="1:10">
      <c r="J14" s="20" t="s">
        <v>158</v>
      </c>
    </row>
    <row r="16" spans="1:10" ht="18">
      <c r="A16" s="89" t="s">
        <v>200</v>
      </c>
      <c r="J16" s="16" t="s">
        <v>159</v>
      </c>
    </row>
    <row r="17" spans="1:10">
      <c r="A17" s="42"/>
      <c r="J17" s="17"/>
    </row>
    <row r="18" spans="1:10">
      <c r="A18" s="42" t="s">
        <v>201</v>
      </c>
      <c r="J18" s="20" t="s">
        <v>160</v>
      </c>
    </row>
    <row r="19" spans="1:10" ht="15" thickBot="1">
      <c r="A19" s="42"/>
      <c r="J19" s="20" t="s">
        <v>161</v>
      </c>
    </row>
    <row r="20" spans="1:10">
      <c r="A20" s="90" t="s">
        <v>202</v>
      </c>
      <c r="B20" s="91"/>
      <c r="C20" s="91"/>
      <c r="D20" s="92"/>
    </row>
    <row r="21" spans="1:10">
      <c r="A21" s="93"/>
      <c r="B21" s="94"/>
      <c r="C21" s="94"/>
      <c r="D21" s="95"/>
      <c r="J21" t="s">
        <v>162</v>
      </c>
    </row>
    <row r="22" spans="1:10" ht="15" thickBot="1">
      <c r="A22" s="96" t="s">
        <v>203</v>
      </c>
      <c r="B22" s="97"/>
      <c r="C22" s="97"/>
      <c r="D22" s="98"/>
    </row>
    <row r="23" spans="1:10">
      <c r="A23" s="42"/>
      <c r="J23" t="s">
        <v>163</v>
      </c>
    </row>
    <row r="24" spans="1:10" ht="15">
      <c r="A24" s="42" t="s">
        <v>207</v>
      </c>
    </row>
    <row r="25" spans="1:10">
      <c r="A25" s="42" t="s">
        <v>208</v>
      </c>
      <c r="J25" s="16" t="s">
        <v>164</v>
      </c>
    </row>
    <row r="26" spans="1:10" ht="15" thickBot="1"/>
    <row r="27" spans="1:10">
      <c r="A27" s="99" t="s">
        <v>118</v>
      </c>
      <c r="B27" s="49"/>
      <c r="C27" s="49"/>
      <c r="D27" s="49"/>
      <c r="E27" s="50"/>
      <c r="J27" t="s">
        <v>165</v>
      </c>
    </row>
    <row r="28" spans="1:10">
      <c r="A28" s="100" t="s">
        <v>206</v>
      </c>
      <c r="B28" s="52"/>
      <c r="C28" s="52"/>
      <c r="D28" s="52"/>
      <c r="E28" s="53"/>
    </row>
    <row r="29" spans="1:10" ht="15" thickBot="1">
      <c r="A29" s="58"/>
      <c r="B29" s="59"/>
      <c r="C29" s="59"/>
      <c r="D29" s="59"/>
      <c r="E29" s="60"/>
      <c r="J29" s="16" t="s">
        <v>166</v>
      </c>
    </row>
    <row r="31" spans="1:10" ht="18">
      <c r="A31" s="86" t="s">
        <v>200</v>
      </c>
      <c r="J31" t="s">
        <v>167</v>
      </c>
    </row>
    <row r="32" spans="1:10">
      <c r="J32" s="17"/>
    </row>
    <row r="33" spans="1:10">
      <c r="A33" t="s">
        <v>201</v>
      </c>
      <c r="J33" s="17" t="s">
        <v>168</v>
      </c>
    </row>
    <row r="34" spans="1:10">
      <c r="J34" s="17" t="s">
        <v>169</v>
      </c>
    </row>
    <row r="35" spans="1:10">
      <c r="A35" t="s">
        <v>202</v>
      </c>
      <c r="J35" s="17" t="s">
        <v>170</v>
      </c>
    </row>
    <row r="37" spans="1:10">
      <c r="A37" s="24" t="s">
        <v>203</v>
      </c>
      <c r="J37" t="s">
        <v>171</v>
      </c>
    </row>
    <row r="38" spans="1:10">
      <c r="J38" s="17"/>
    </row>
    <row r="39" spans="1:10" ht="15">
      <c r="A39" t="s">
        <v>204</v>
      </c>
      <c r="J39" s="20" t="s">
        <v>172</v>
      </c>
    </row>
    <row r="40" spans="1:10">
      <c r="J40" s="20" t="s">
        <v>173</v>
      </c>
    </row>
    <row r="41" spans="1:10">
      <c r="A41" t="s">
        <v>118</v>
      </c>
    </row>
    <row r="42" spans="1:10">
      <c r="J42" t="s">
        <v>174</v>
      </c>
    </row>
    <row r="43" spans="1:10">
      <c r="A43" s="24" t="s">
        <v>205</v>
      </c>
    </row>
    <row r="44" spans="1:10">
      <c r="J44" s="16" t="s">
        <v>175</v>
      </c>
    </row>
    <row r="45" spans="1:10">
      <c r="A45" t="s">
        <v>211</v>
      </c>
    </row>
    <row r="46" spans="1:10">
      <c r="J46" s="16" t="s">
        <v>176</v>
      </c>
    </row>
    <row r="47" spans="1:10">
      <c r="J47" s="17"/>
    </row>
    <row r="48" spans="1:10">
      <c r="J48" s="17" t="s">
        <v>177</v>
      </c>
    </row>
    <row r="49" spans="1:10" ht="15">
      <c r="A49" s="16" t="s">
        <v>212</v>
      </c>
      <c r="J49" s="20" t="s">
        <v>178</v>
      </c>
    </row>
    <row r="51" spans="1:10">
      <c r="J51" s="16" t="s">
        <v>179</v>
      </c>
    </row>
    <row r="53" spans="1:10">
      <c r="J53" t="s">
        <v>180</v>
      </c>
    </row>
    <row r="55" spans="1:10">
      <c r="J55" s="16" t="s">
        <v>181</v>
      </c>
    </row>
    <row r="57" spans="1:10">
      <c r="J57" s="16" t="s">
        <v>182</v>
      </c>
    </row>
    <row r="58" spans="1:10">
      <c r="J58" s="17"/>
    </row>
    <row r="59" spans="1:10">
      <c r="J59" s="17" t="s">
        <v>183</v>
      </c>
    </row>
    <row r="60" spans="1:10">
      <c r="J60" s="17" t="s">
        <v>184</v>
      </c>
    </row>
    <row r="62" spans="1:10">
      <c r="J62" t="s">
        <v>185</v>
      </c>
    </row>
    <row r="64" spans="1:10">
      <c r="J64" t="s">
        <v>186</v>
      </c>
    </row>
    <row r="66" spans="10:10">
      <c r="J66" t="s">
        <v>187</v>
      </c>
    </row>
    <row r="68" spans="10:10">
      <c r="J68" t="s">
        <v>188</v>
      </c>
    </row>
    <row r="70" spans="10:10">
      <c r="J70" s="16" t="s">
        <v>189</v>
      </c>
    </row>
    <row r="72" spans="10:10">
      <c r="J72" t="s">
        <v>190</v>
      </c>
    </row>
    <row r="74" spans="10:10">
      <c r="J74" t="s">
        <v>191</v>
      </c>
    </row>
    <row r="76" spans="10:10">
      <c r="J76" t="s">
        <v>192</v>
      </c>
    </row>
    <row r="78" spans="10:10">
      <c r="J78" s="16" t="s">
        <v>193</v>
      </c>
    </row>
    <row r="80" spans="10:10">
      <c r="J80" t="s">
        <v>194</v>
      </c>
    </row>
    <row r="82" spans="10:10">
      <c r="J82" t="s">
        <v>195</v>
      </c>
    </row>
    <row r="84" spans="10:10">
      <c r="J84" t="s">
        <v>196</v>
      </c>
    </row>
    <row r="86" spans="10:10">
      <c r="J86" t="s">
        <v>197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DocSecurity>0</DocSecurity>
  <ScaleCrop>false</ScaleCrop>
  <HeadingPairs>
    <vt:vector size="2" baseType="variant">
      <vt:variant>
        <vt:lpstr>Worksheets</vt:lpstr>
      </vt:variant>
      <vt:variant>
        <vt:i4>7</vt:i4>
      </vt:variant>
    </vt:vector>
  </HeadingPairs>
  <TitlesOfParts>
    <vt:vector size="7" baseType="lpstr">
      <vt:lpstr>Dataset</vt:lpstr>
      <vt:lpstr>Model &amp; Baseline</vt:lpstr>
      <vt:lpstr>Row2 Brute-Force Detail</vt:lpstr>
      <vt:lpstr>Sheet2</vt:lpstr>
      <vt:lpstr>Sheet3</vt:lpstr>
      <vt:lpstr>Shapley Summary</vt:lpstr>
      <vt:lpstr>Alternate_to_TREE</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hemungshew borgohain</cp:lastModifiedBy>
  <cp:revision>0</cp:revision>
  <dcterms:created xsi:type="dcterms:W3CDTF">2026-08-19T03:21:02Z</dcterms:created>
  <dcterms:modified xsi:type="dcterms:W3CDTF">2026-08-27T19:50:16Z</dcterms:modified>
  <dc:language>en-US</dc:language>
</cp:coreProperties>
</file>